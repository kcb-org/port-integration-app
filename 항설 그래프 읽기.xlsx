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60702 항설 그래프\"/>
    </mc:Choice>
  </mc:AlternateContent>
  <bookViews>
    <workbookView xWindow="0" yWindow="0" windowWidth="28800" windowHeight="12135" activeTab="2"/>
  </bookViews>
  <sheets>
    <sheet name="Ns3_B&amp;D" sheetId="1" r:id="rId1"/>
    <sheet name="SPM_Figure 7-2" sheetId="2" r:id="rId2"/>
    <sheet name="SPM_Figure 7-3" sheetId="3" r:id="rId3"/>
    <sheet name="Sheet1" sheetId="4" r:id="rId4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3" l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A13" i="3"/>
  <c r="A5" i="3"/>
  <c r="A6" i="3" s="1"/>
  <c r="A7" i="3" s="1"/>
  <c r="A8" i="3" s="1"/>
  <c r="A9" i="3" s="1"/>
  <c r="A10" i="3" s="1"/>
  <c r="A11" i="3" s="1"/>
  <c r="A12" i="3" s="1"/>
  <c r="B4" i="3" l="1"/>
  <c r="C4" i="3"/>
  <c r="A14" i="3" l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E4" i="3"/>
  <c r="D4" i="3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" i="2"/>
  <c r="A7" i="2"/>
  <c r="A8" i="2"/>
  <c r="A9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6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C41" i="1" l="1"/>
  <c r="C40" i="1"/>
  <c r="C39" i="1"/>
  <c r="C38" i="1"/>
  <c r="C37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8" i="1"/>
  <c r="C7" i="1"/>
  <c r="C6" i="1"/>
  <c r="C5" i="1"/>
  <c r="C4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<sst xmlns="http://schemas.openxmlformats.org/spreadsheetml/2006/main" count="27" uniqueCount="17">
  <si>
    <t>di/ds</t>
    <phoneticPr fontId="2" type="noConversion"/>
  </si>
  <si>
    <t>Ns3</t>
    <phoneticPr fontId="2" type="noConversion"/>
  </si>
  <si>
    <t>Rubble Foundation</t>
    <phoneticPr fontId="2" type="noConversion"/>
  </si>
  <si>
    <t>Rubble Toe Protection</t>
    <phoneticPr fontId="2" type="noConversion"/>
  </si>
  <si>
    <t>Hb/gT2</t>
    <phoneticPr fontId="2" type="noConversion"/>
  </si>
  <si>
    <t>m</t>
    <phoneticPr fontId="2" type="noConversion"/>
  </si>
  <si>
    <t>α</t>
    <phoneticPr fontId="2" type="noConversion"/>
  </si>
  <si>
    <t>β</t>
    <phoneticPr fontId="2" type="noConversion"/>
  </si>
  <si>
    <t>1 : 5</t>
    <phoneticPr fontId="2" type="noConversion"/>
  </si>
  <si>
    <t>1 : 10</t>
  </si>
  <si>
    <t>1 : 14</t>
  </si>
  <si>
    <t>1 : 20</t>
  </si>
  <si>
    <t>1 : 33</t>
  </si>
  <si>
    <t>1 : 50</t>
  </si>
  <si>
    <t>1 : 100</t>
  </si>
  <si>
    <t>1 : ∞</t>
  </si>
  <si>
    <t>Ho'/gT2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</si>
</sst>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_-* #,##0.00_-;\-* #,##0.00_-;_-* &quot;-&quot;_-;_-@_-"/>
    <numFmt numFmtId="177" formatCode="0.000"/>
    <numFmt numFmtId="178" formatCode="0.0000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176" fontId="0" fillId="2" borderId="0" xfId="1" applyNumberFormat="1" applyFont="1" applyFill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20" fontId="0" fillId="0" borderId="0" xfId="0" quotePrefix="1" applyNumberFormat="1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'SPM_Figure 7-2'!$A$5:$A$55</c:f>
              <c:numCache>
                <c:formatCode>General</c:formatCode>
                <c:ptCount val="51"/>
                <c:pt idx="0">
                  <c:v>0</c:v>
                </c:pt>
                <c:pt idx="1">
                  <c:v>4.0000000000000002E-4</c:v>
                </c:pt>
                <c:pt idx="2">
                  <c:v>8.0000000000000004E-4</c:v>
                </c:pt>
                <c:pt idx="3">
                  <c:v>1.2000000000000001E-3</c:v>
                </c:pt>
                <c:pt idx="4">
                  <c:v>1.6000000000000001E-3</c:v>
                </c:pt>
                <c:pt idx="5">
                  <c:v>2E-3</c:v>
                </c:pt>
                <c:pt idx="6">
                  <c:v>2.4000000000000002E-3</c:v>
                </c:pt>
                <c:pt idx="7">
                  <c:v>2.8000000000000004E-3</c:v>
                </c:pt>
                <c:pt idx="8">
                  <c:v>3.2000000000000006E-3</c:v>
                </c:pt>
                <c:pt idx="9">
                  <c:v>3.6000000000000008E-3</c:v>
                </c:pt>
                <c:pt idx="10">
                  <c:v>4.000000000000001E-3</c:v>
                </c:pt>
                <c:pt idx="11">
                  <c:v>4.4000000000000011E-3</c:v>
                </c:pt>
                <c:pt idx="12">
                  <c:v>4.8000000000000013E-3</c:v>
                </c:pt>
                <c:pt idx="13">
                  <c:v>5.2000000000000015E-3</c:v>
                </c:pt>
                <c:pt idx="14">
                  <c:v>5.6000000000000017E-3</c:v>
                </c:pt>
                <c:pt idx="15">
                  <c:v>6.0000000000000019E-3</c:v>
                </c:pt>
                <c:pt idx="16">
                  <c:v>6.400000000000002E-3</c:v>
                </c:pt>
                <c:pt idx="17">
                  <c:v>6.8000000000000022E-3</c:v>
                </c:pt>
                <c:pt idx="18">
                  <c:v>7.2000000000000024E-3</c:v>
                </c:pt>
                <c:pt idx="19">
                  <c:v>7.6000000000000026E-3</c:v>
                </c:pt>
                <c:pt idx="20">
                  <c:v>8.0000000000000019E-3</c:v>
                </c:pt>
                <c:pt idx="21">
                  <c:v>8.4000000000000012E-3</c:v>
                </c:pt>
                <c:pt idx="22">
                  <c:v>8.8000000000000005E-3</c:v>
                </c:pt>
                <c:pt idx="23">
                  <c:v>9.1999999999999998E-3</c:v>
                </c:pt>
                <c:pt idx="24">
                  <c:v>9.5999999999999992E-3</c:v>
                </c:pt>
                <c:pt idx="25">
                  <c:v>9.9999999999999985E-3</c:v>
                </c:pt>
                <c:pt idx="26">
                  <c:v>1.0399999999999998E-2</c:v>
                </c:pt>
                <c:pt idx="27">
                  <c:v>1.0799999999999997E-2</c:v>
                </c:pt>
                <c:pt idx="28">
                  <c:v>1.1199999999999996E-2</c:v>
                </c:pt>
                <c:pt idx="29">
                  <c:v>1.1599999999999996E-2</c:v>
                </c:pt>
                <c:pt idx="30">
                  <c:v>1.1999999999999995E-2</c:v>
                </c:pt>
                <c:pt idx="31">
                  <c:v>1.2399999999999994E-2</c:v>
                </c:pt>
                <c:pt idx="32">
                  <c:v>1.2799999999999994E-2</c:v>
                </c:pt>
                <c:pt idx="33">
                  <c:v>1.3199999999999993E-2</c:v>
                </c:pt>
                <c:pt idx="34">
                  <c:v>1.3599999999999992E-2</c:v>
                </c:pt>
                <c:pt idx="35">
                  <c:v>1.3999999999999992E-2</c:v>
                </c:pt>
                <c:pt idx="36">
                  <c:v>1.4399999999999991E-2</c:v>
                </c:pt>
                <c:pt idx="37">
                  <c:v>1.479999999999999E-2</c:v>
                </c:pt>
                <c:pt idx="38">
                  <c:v>1.519999999999999E-2</c:v>
                </c:pt>
                <c:pt idx="39">
                  <c:v>1.5599999999999989E-2</c:v>
                </c:pt>
                <c:pt idx="40">
                  <c:v>1.599999999999999E-2</c:v>
                </c:pt>
                <c:pt idx="41">
                  <c:v>1.6399999999999991E-2</c:v>
                </c:pt>
                <c:pt idx="42">
                  <c:v>1.6799999999999992E-2</c:v>
                </c:pt>
                <c:pt idx="43">
                  <c:v>1.7199999999999993E-2</c:v>
                </c:pt>
                <c:pt idx="44">
                  <c:v>1.7599999999999994E-2</c:v>
                </c:pt>
                <c:pt idx="45">
                  <c:v>1.7999999999999995E-2</c:v>
                </c:pt>
                <c:pt idx="46">
                  <c:v>1.8399999999999996E-2</c:v>
                </c:pt>
                <c:pt idx="47">
                  <c:v>1.8799999999999997E-2</c:v>
                </c:pt>
                <c:pt idx="48">
                  <c:v>1.9199999999999998E-2</c:v>
                </c:pt>
                <c:pt idx="49">
                  <c:v>1.9599999999999999E-2</c:v>
                </c:pt>
                <c:pt idx="50">
                  <c:v>0.02</c:v>
                </c:pt>
              </c:numCache>
            </c:numRef>
          </c:cat>
          <c:val>
            <c:numRef>
              <c:f>'SPM_Figure 7-2'!$B$5:$B$55</c:f>
              <c:numCache>
                <c:formatCode>0.000</c:formatCode>
                <c:ptCount val="51"/>
                <c:pt idx="0">
                  <c:v>1.4667245873153778</c:v>
                </c:pt>
                <c:pt idx="1">
                  <c:v>1.4730793099168424</c:v>
                </c:pt>
                <c:pt idx="2">
                  <c:v>1.4793347399776591</c:v>
                </c:pt>
                <c:pt idx="3">
                  <c:v>1.484584833064416</c:v>
                </c:pt>
                <c:pt idx="4">
                  <c:v>1.4891026436638948</c:v>
                </c:pt>
                <c:pt idx="5">
                  <c:v>1.4945140871292044</c:v>
                </c:pt>
                <c:pt idx="6">
                  <c:v>1.4996897108104752</c:v>
                </c:pt>
                <c:pt idx="7">
                  <c:v>1.5038351743825245</c:v>
                </c:pt>
                <c:pt idx="8">
                  <c:v>1.5084895122253941</c:v>
                </c:pt>
                <c:pt idx="9">
                  <c:v>1.5130197343924539</c:v>
                </c:pt>
                <c:pt idx="10">
                  <c:v>1.5178974804517811</c:v>
                </c:pt>
                <c:pt idx="11">
                  <c:v>1.5223904679160978</c:v>
                </c:pt>
                <c:pt idx="12">
                  <c:v>1.526511108352985</c:v>
                </c:pt>
                <c:pt idx="13">
                  <c:v>1.5299739357080799</c:v>
                </c:pt>
                <c:pt idx="14">
                  <c:v>1.5336477597120517</c:v>
                </c:pt>
                <c:pt idx="15">
                  <c:v>1.5370237060940797</c:v>
                </c:pt>
                <c:pt idx="16">
                  <c:v>1.5400024823135161</c:v>
                </c:pt>
                <c:pt idx="17">
                  <c:v>1.5443217078316991</c:v>
                </c:pt>
                <c:pt idx="18">
                  <c:v>1.5473377187538786</c:v>
                </c:pt>
                <c:pt idx="19">
                  <c:v>1.5504654337842869</c:v>
                </c:pt>
                <c:pt idx="20">
                  <c:v>1.5535559141119524</c:v>
                </c:pt>
                <c:pt idx="21">
                  <c:v>1.5564726324934839</c:v>
                </c:pt>
                <c:pt idx="22">
                  <c:v>1.5606180960655331</c:v>
                </c:pt>
                <c:pt idx="23">
                  <c:v>1.5644160357453147</c:v>
                </c:pt>
                <c:pt idx="24">
                  <c:v>1.5686607918580118</c:v>
                </c:pt>
                <c:pt idx="25">
                  <c:v>1.5737495345662158</c:v>
                </c:pt>
                <c:pt idx="26">
                  <c:v>1.5780687600843986</c:v>
                </c:pt>
                <c:pt idx="27">
                  <c:v>1.5826982747921063</c:v>
                </c:pt>
                <c:pt idx="28">
                  <c:v>1.5884944768524265</c:v>
                </c:pt>
                <c:pt idx="29">
                  <c:v>1.5943651483182326</c:v>
                </c:pt>
                <c:pt idx="30">
                  <c:v>1.6005461089735635</c:v>
                </c:pt>
                <c:pt idx="31">
                  <c:v>1.6077324066029541</c:v>
                </c:pt>
                <c:pt idx="32">
                  <c:v>1.6157999255305946</c:v>
                </c:pt>
                <c:pt idx="33">
                  <c:v>1.6238053866203301</c:v>
                </c:pt>
                <c:pt idx="34">
                  <c:v>1.6313143850068264</c:v>
                </c:pt>
                <c:pt idx="35">
                  <c:v>1.6397170162591537</c:v>
                </c:pt>
                <c:pt idx="36">
                  <c:v>1.6487278143229491</c:v>
                </c:pt>
                <c:pt idx="37">
                  <c:v>1.658173017252079</c:v>
                </c:pt>
                <c:pt idx="38">
                  <c:v>1.6691448429936702</c:v>
                </c:pt>
                <c:pt idx="39">
                  <c:v>1.681134417276902</c:v>
                </c:pt>
                <c:pt idx="40">
                  <c:v>1.6946630259401763</c:v>
                </c:pt>
                <c:pt idx="41">
                  <c:v>1.7107594936708861</c:v>
                </c:pt>
                <c:pt idx="42">
                  <c:v>1.7271903698188136</c:v>
                </c:pt>
                <c:pt idx="43">
                  <c:v>1.7458798709357159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12-4DD5-8A7A-FA7153A6117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'SPM_Figure 7-2'!$A$5:$A$55</c:f>
              <c:numCache>
                <c:formatCode>General</c:formatCode>
                <c:ptCount val="51"/>
                <c:pt idx="0">
                  <c:v>0</c:v>
                </c:pt>
                <c:pt idx="1">
                  <c:v>4.0000000000000002E-4</c:v>
                </c:pt>
                <c:pt idx="2">
                  <c:v>8.0000000000000004E-4</c:v>
                </c:pt>
                <c:pt idx="3">
                  <c:v>1.2000000000000001E-3</c:v>
                </c:pt>
                <c:pt idx="4">
                  <c:v>1.6000000000000001E-3</c:v>
                </c:pt>
                <c:pt idx="5">
                  <c:v>2E-3</c:v>
                </c:pt>
                <c:pt idx="6">
                  <c:v>2.4000000000000002E-3</c:v>
                </c:pt>
                <c:pt idx="7">
                  <c:v>2.8000000000000004E-3</c:v>
                </c:pt>
                <c:pt idx="8">
                  <c:v>3.2000000000000006E-3</c:v>
                </c:pt>
                <c:pt idx="9">
                  <c:v>3.6000000000000008E-3</c:v>
                </c:pt>
                <c:pt idx="10">
                  <c:v>4.000000000000001E-3</c:v>
                </c:pt>
                <c:pt idx="11">
                  <c:v>4.4000000000000011E-3</c:v>
                </c:pt>
                <c:pt idx="12">
                  <c:v>4.8000000000000013E-3</c:v>
                </c:pt>
                <c:pt idx="13">
                  <c:v>5.2000000000000015E-3</c:v>
                </c:pt>
                <c:pt idx="14">
                  <c:v>5.6000000000000017E-3</c:v>
                </c:pt>
                <c:pt idx="15">
                  <c:v>6.0000000000000019E-3</c:v>
                </c:pt>
                <c:pt idx="16">
                  <c:v>6.400000000000002E-3</c:v>
                </c:pt>
                <c:pt idx="17">
                  <c:v>6.8000000000000022E-3</c:v>
                </c:pt>
                <c:pt idx="18">
                  <c:v>7.2000000000000024E-3</c:v>
                </c:pt>
                <c:pt idx="19">
                  <c:v>7.6000000000000026E-3</c:v>
                </c:pt>
                <c:pt idx="20">
                  <c:v>8.0000000000000019E-3</c:v>
                </c:pt>
                <c:pt idx="21">
                  <c:v>8.4000000000000012E-3</c:v>
                </c:pt>
                <c:pt idx="22">
                  <c:v>8.8000000000000005E-3</c:v>
                </c:pt>
                <c:pt idx="23">
                  <c:v>9.1999999999999998E-3</c:v>
                </c:pt>
                <c:pt idx="24">
                  <c:v>9.5999999999999992E-3</c:v>
                </c:pt>
                <c:pt idx="25">
                  <c:v>9.9999999999999985E-3</c:v>
                </c:pt>
                <c:pt idx="26">
                  <c:v>1.0399999999999998E-2</c:v>
                </c:pt>
                <c:pt idx="27">
                  <c:v>1.0799999999999997E-2</c:v>
                </c:pt>
                <c:pt idx="28">
                  <c:v>1.1199999999999996E-2</c:v>
                </c:pt>
                <c:pt idx="29">
                  <c:v>1.1599999999999996E-2</c:v>
                </c:pt>
                <c:pt idx="30">
                  <c:v>1.1999999999999995E-2</c:v>
                </c:pt>
                <c:pt idx="31">
                  <c:v>1.2399999999999994E-2</c:v>
                </c:pt>
                <c:pt idx="32">
                  <c:v>1.2799999999999994E-2</c:v>
                </c:pt>
                <c:pt idx="33">
                  <c:v>1.3199999999999993E-2</c:v>
                </c:pt>
                <c:pt idx="34">
                  <c:v>1.3599999999999992E-2</c:v>
                </c:pt>
                <c:pt idx="35">
                  <c:v>1.3999999999999992E-2</c:v>
                </c:pt>
                <c:pt idx="36">
                  <c:v>1.4399999999999991E-2</c:v>
                </c:pt>
                <c:pt idx="37">
                  <c:v>1.479999999999999E-2</c:v>
                </c:pt>
                <c:pt idx="38">
                  <c:v>1.519999999999999E-2</c:v>
                </c:pt>
                <c:pt idx="39">
                  <c:v>1.5599999999999989E-2</c:v>
                </c:pt>
                <c:pt idx="40">
                  <c:v>1.599999999999999E-2</c:v>
                </c:pt>
                <c:pt idx="41">
                  <c:v>1.6399999999999991E-2</c:v>
                </c:pt>
                <c:pt idx="42">
                  <c:v>1.6799999999999992E-2</c:v>
                </c:pt>
                <c:pt idx="43">
                  <c:v>1.7199999999999993E-2</c:v>
                </c:pt>
                <c:pt idx="44">
                  <c:v>1.7599999999999994E-2</c:v>
                </c:pt>
                <c:pt idx="45">
                  <c:v>1.7999999999999995E-2</c:v>
                </c:pt>
                <c:pt idx="46">
                  <c:v>1.8399999999999996E-2</c:v>
                </c:pt>
                <c:pt idx="47">
                  <c:v>1.8799999999999997E-2</c:v>
                </c:pt>
                <c:pt idx="48">
                  <c:v>1.9199999999999998E-2</c:v>
                </c:pt>
                <c:pt idx="49">
                  <c:v>1.9599999999999999E-2</c:v>
                </c:pt>
                <c:pt idx="50">
                  <c:v>0.02</c:v>
                </c:pt>
              </c:numCache>
            </c:numRef>
          </c:cat>
          <c:val>
            <c:numRef>
              <c:f>'SPM_Figure 7-2'!$C$5:$C$55</c:f>
              <c:numCache>
                <c:formatCode>0.000</c:formatCode>
                <c:ptCount val="51"/>
                <c:pt idx="0">
                  <c:v>0.6625160960019858</c:v>
                </c:pt>
                <c:pt idx="1">
                  <c:v>0.67534945777805355</c:v>
                </c:pt>
                <c:pt idx="2">
                  <c:v>0.68651969530074308</c:v>
                </c:pt>
                <c:pt idx="3">
                  <c:v>0.69692042757186956</c:v>
                </c:pt>
                <c:pt idx="4">
                  <c:v>0.70570768108971871</c:v>
                </c:pt>
                <c:pt idx="5">
                  <c:v>0.71501621235862667</c:v>
                </c:pt>
                <c:pt idx="6">
                  <c:v>0.72353041562592113</c:v>
                </c:pt>
                <c:pt idx="7">
                  <c:v>0.73123787951657693</c:v>
                </c:pt>
                <c:pt idx="8">
                  <c:v>0.73868470453170332</c:v>
                </c:pt>
                <c:pt idx="9">
                  <c:v>0.7467024527979893</c:v>
                </c:pt>
                <c:pt idx="10">
                  <c:v>0.75328048156135097</c:v>
                </c:pt>
                <c:pt idx="11">
                  <c:v>0.76056595870114962</c:v>
                </c:pt>
                <c:pt idx="12">
                  <c:v>0.76941526909412472</c:v>
                </c:pt>
                <c:pt idx="13">
                  <c:v>0.77766883348588978</c:v>
                </c:pt>
                <c:pt idx="14">
                  <c:v>0.78732488325550365</c:v>
                </c:pt>
                <c:pt idx="15">
                  <c:v>0.79816001365251255</c:v>
                </c:pt>
                <c:pt idx="16">
                  <c:v>0.81045968630249621</c:v>
                </c:pt>
                <c:pt idx="17">
                  <c:v>0.82344198457886653</c:v>
                </c:pt>
                <c:pt idx="18">
                  <c:v>0.83750407248243008</c:v>
                </c:pt>
                <c:pt idx="19">
                  <c:v>0.8525590703880106</c:v>
                </c:pt>
                <c:pt idx="20">
                  <c:v>0.86502009091332199</c:v>
                </c:pt>
                <c:pt idx="21">
                  <c:v>0.87758040243883517</c:v>
                </c:pt>
                <c:pt idx="22">
                  <c:v>0.89197759746807948</c:v>
                </c:pt>
                <c:pt idx="23">
                  <c:v>0.90597762849651708</c:v>
                </c:pt>
                <c:pt idx="24">
                  <c:v>0.92026312115053444</c:v>
                </c:pt>
                <c:pt idx="25">
                  <c:v>0.93647237693345953</c:v>
                </c:pt>
                <c:pt idx="26">
                  <c:v>0.95191212746482146</c:v>
                </c:pt>
                <c:pt idx="27">
                  <c:v>0.96624726561893981</c:v>
                </c:pt>
                <c:pt idx="28">
                  <c:v>0.98073134027336051</c:v>
                </c:pt>
                <c:pt idx="29">
                  <c:v>0.99593527467924348</c:v>
                </c:pt>
                <c:pt idx="30">
                  <c:v>1.0132243200893618</c:v>
                </c:pt>
                <c:pt idx="31">
                  <c:v>1.0309601750003878</c:v>
                </c:pt>
                <c:pt idx="32">
                  <c:v>1.0476782971593466</c:v>
                </c:pt>
                <c:pt idx="33">
                  <c:v>1.064619824068759</c:v>
                </c:pt>
                <c:pt idx="34">
                  <c:v>1.0827031974804908</c:v>
                </c:pt>
                <c:pt idx="35">
                  <c:v>1.1008113936422732</c:v>
                </c:pt>
                <c:pt idx="36">
                  <c:v>1.1206820050576352</c:v>
                </c:pt>
                <c:pt idx="37">
                  <c:v>1.1426129047271825</c:v>
                </c:pt>
                <c:pt idx="38">
                  <c:v>1.1644941588966287</c:v>
                </c:pt>
                <c:pt idx="39">
                  <c:v>1.1884232899452347</c:v>
                </c:pt>
                <c:pt idx="40">
                  <c:v>1.2141644817475217</c:v>
                </c:pt>
                <c:pt idx="41">
                  <c:v>1.2407992925516236</c:v>
                </c:pt>
                <c:pt idx="42">
                  <c:v>1.2663046682284314</c:v>
                </c:pt>
                <c:pt idx="43">
                  <c:v>1.293870332159424</c:v>
                </c:pt>
                <c:pt idx="44">
                  <c:v>1.3241044417208372</c:v>
                </c:pt>
                <c:pt idx="45">
                  <c:v>1.3552694044091409</c:v>
                </c:pt>
                <c:pt idx="46">
                  <c:v>1.3881347254758987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12-4DD5-8A7A-FA7153A6117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'SPM_Figure 7-2'!$A$5:$A$55</c:f>
              <c:numCache>
                <c:formatCode>General</c:formatCode>
                <c:ptCount val="51"/>
                <c:pt idx="0">
                  <c:v>0</c:v>
                </c:pt>
                <c:pt idx="1">
                  <c:v>4.0000000000000002E-4</c:v>
                </c:pt>
                <c:pt idx="2">
                  <c:v>8.0000000000000004E-4</c:v>
                </c:pt>
                <c:pt idx="3">
                  <c:v>1.2000000000000001E-3</c:v>
                </c:pt>
                <c:pt idx="4">
                  <c:v>1.6000000000000001E-3</c:v>
                </c:pt>
                <c:pt idx="5">
                  <c:v>2E-3</c:v>
                </c:pt>
                <c:pt idx="6">
                  <c:v>2.4000000000000002E-3</c:v>
                </c:pt>
                <c:pt idx="7">
                  <c:v>2.8000000000000004E-3</c:v>
                </c:pt>
                <c:pt idx="8">
                  <c:v>3.2000000000000006E-3</c:v>
                </c:pt>
                <c:pt idx="9">
                  <c:v>3.6000000000000008E-3</c:v>
                </c:pt>
                <c:pt idx="10">
                  <c:v>4.000000000000001E-3</c:v>
                </c:pt>
                <c:pt idx="11">
                  <c:v>4.4000000000000011E-3</c:v>
                </c:pt>
                <c:pt idx="12">
                  <c:v>4.8000000000000013E-3</c:v>
                </c:pt>
                <c:pt idx="13">
                  <c:v>5.2000000000000015E-3</c:v>
                </c:pt>
                <c:pt idx="14">
                  <c:v>5.6000000000000017E-3</c:v>
                </c:pt>
                <c:pt idx="15">
                  <c:v>6.0000000000000019E-3</c:v>
                </c:pt>
                <c:pt idx="16">
                  <c:v>6.400000000000002E-3</c:v>
                </c:pt>
                <c:pt idx="17">
                  <c:v>6.8000000000000022E-3</c:v>
                </c:pt>
                <c:pt idx="18">
                  <c:v>7.2000000000000024E-3</c:v>
                </c:pt>
                <c:pt idx="19">
                  <c:v>7.6000000000000026E-3</c:v>
                </c:pt>
                <c:pt idx="20">
                  <c:v>8.0000000000000019E-3</c:v>
                </c:pt>
                <c:pt idx="21">
                  <c:v>8.4000000000000012E-3</c:v>
                </c:pt>
                <c:pt idx="22">
                  <c:v>8.8000000000000005E-3</c:v>
                </c:pt>
                <c:pt idx="23">
                  <c:v>9.1999999999999998E-3</c:v>
                </c:pt>
                <c:pt idx="24">
                  <c:v>9.5999999999999992E-3</c:v>
                </c:pt>
                <c:pt idx="25">
                  <c:v>9.9999999999999985E-3</c:v>
                </c:pt>
                <c:pt idx="26">
                  <c:v>1.0399999999999998E-2</c:v>
                </c:pt>
                <c:pt idx="27">
                  <c:v>1.0799999999999997E-2</c:v>
                </c:pt>
                <c:pt idx="28">
                  <c:v>1.1199999999999996E-2</c:v>
                </c:pt>
                <c:pt idx="29">
                  <c:v>1.1599999999999996E-2</c:v>
                </c:pt>
                <c:pt idx="30">
                  <c:v>1.1999999999999995E-2</c:v>
                </c:pt>
                <c:pt idx="31">
                  <c:v>1.2399999999999994E-2</c:v>
                </c:pt>
                <c:pt idx="32">
                  <c:v>1.2799999999999994E-2</c:v>
                </c:pt>
                <c:pt idx="33">
                  <c:v>1.3199999999999993E-2</c:v>
                </c:pt>
                <c:pt idx="34">
                  <c:v>1.3599999999999992E-2</c:v>
                </c:pt>
                <c:pt idx="35">
                  <c:v>1.3999999999999992E-2</c:v>
                </c:pt>
                <c:pt idx="36">
                  <c:v>1.4399999999999991E-2</c:v>
                </c:pt>
                <c:pt idx="37">
                  <c:v>1.479999999999999E-2</c:v>
                </c:pt>
                <c:pt idx="38">
                  <c:v>1.519999999999999E-2</c:v>
                </c:pt>
                <c:pt idx="39">
                  <c:v>1.5599999999999989E-2</c:v>
                </c:pt>
                <c:pt idx="40">
                  <c:v>1.599999999999999E-2</c:v>
                </c:pt>
                <c:pt idx="41">
                  <c:v>1.6399999999999991E-2</c:v>
                </c:pt>
                <c:pt idx="42">
                  <c:v>1.6799999999999992E-2</c:v>
                </c:pt>
                <c:pt idx="43">
                  <c:v>1.7199999999999993E-2</c:v>
                </c:pt>
                <c:pt idx="44">
                  <c:v>1.7599999999999994E-2</c:v>
                </c:pt>
                <c:pt idx="45">
                  <c:v>1.7999999999999995E-2</c:v>
                </c:pt>
                <c:pt idx="46">
                  <c:v>1.8399999999999996E-2</c:v>
                </c:pt>
                <c:pt idx="47">
                  <c:v>1.8799999999999997E-2</c:v>
                </c:pt>
                <c:pt idx="48">
                  <c:v>1.9199999999999998E-2</c:v>
                </c:pt>
                <c:pt idx="49">
                  <c:v>1.9599999999999999E-2</c:v>
                </c:pt>
                <c:pt idx="50">
                  <c:v>0.02</c:v>
                </c:pt>
              </c:numCache>
            </c:numRef>
          </c:cat>
          <c:val>
            <c:numRef>
              <c:f>'SPM_Figure 7-2'!$D$5:$D$55</c:f>
              <c:numCache>
                <c:formatCode>0.000</c:formatCode>
                <c:ptCount val="51"/>
                <c:pt idx="0">
                  <c:v>0.71905146066369818</c:v>
                </c:pt>
                <c:pt idx="1">
                  <c:v>0.73492560932094264</c:v>
                </c:pt>
                <c:pt idx="2">
                  <c:v>0.748503653598523</c:v>
                </c:pt>
                <c:pt idx="3">
                  <c:v>0.75962424562111175</c:v>
                </c:pt>
                <c:pt idx="4">
                  <c:v>0.76996292101711217</c:v>
                </c:pt>
                <c:pt idx="5">
                  <c:v>0.77911010441069239</c:v>
                </c:pt>
                <c:pt idx="6">
                  <c:v>0.78961012768202055</c:v>
                </c:pt>
                <c:pt idx="7">
                  <c:v>0.79901794995113018</c:v>
                </c:pt>
                <c:pt idx="8">
                  <c:v>0.80765626696867676</c:v>
                </c:pt>
                <c:pt idx="9">
                  <c:v>0.8158725972353662</c:v>
                </c:pt>
                <c:pt idx="10">
                  <c:v>0.82488325550366903</c:v>
                </c:pt>
                <c:pt idx="11">
                  <c:v>0.8328265355198039</c:v>
                </c:pt>
                <c:pt idx="12">
                  <c:v>0.84240811703926644</c:v>
                </c:pt>
                <c:pt idx="13">
                  <c:v>0.85048792218067848</c:v>
                </c:pt>
                <c:pt idx="14">
                  <c:v>0.85817056332128394</c:v>
                </c:pt>
                <c:pt idx="15">
                  <c:v>0.86761561971546919</c:v>
                </c:pt>
                <c:pt idx="16">
                  <c:v>0.87795429511146961</c:v>
                </c:pt>
                <c:pt idx="17">
                  <c:v>0.88895077338380624</c:v>
                </c:pt>
                <c:pt idx="18">
                  <c:v>0.90053058628232763</c:v>
                </c:pt>
                <c:pt idx="19">
                  <c:v>0.91403416230975676</c:v>
                </c:pt>
                <c:pt idx="20">
                  <c:v>0.92827000946367333</c:v>
                </c:pt>
                <c:pt idx="21">
                  <c:v>0.94297748886854793</c:v>
                </c:pt>
                <c:pt idx="22">
                  <c:v>0.95715127914733844</c:v>
                </c:pt>
                <c:pt idx="23">
                  <c:v>0.97163535380175925</c:v>
                </c:pt>
                <c:pt idx="24">
                  <c:v>0.98687652233271783</c:v>
                </c:pt>
                <c:pt idx="25">
                  <c:v>1.0033340056161473</c:v>
                </c:pt>
                <c:pt idx="26">
                  <c:v>1.0217524861535596</c:v>
                </c:pt>
                <c:pt idx="27">
                  <c:v>1.0386443675628714</c:v>
                </c:pt>
                <c:pt idx="28">
                  <c:v>1.0544068138448888</c:v>
                </c:pt>
                <c:pt idx="29">
                  <c:v>1.0717703275051584</c:v>
                </c:pt>
                <c:pt idx="30">
                  <c:v>1.0908093767938316</c:v>
                </c:pt>
                <c:pt idx="31">
                  <c:v>1.1102828242083871</c:v>
                </c:pt>
                <c:pt idx="32">
                  <c:v>1.1299052081232448</c:v>
                </c:pt>
                <c:pt idx="33">
                  <c:v>1.1493786555378003</c:v>
                </c:pt>
                <c:pt idx="34">
                  <c:v>1.1678591929503388</c:v>
                </c:pt>
                <c:pt idx="35">
                  <c:v>1.1882634934917853</c:v>
                </c:pt>
                <c:pt idx="36">
                  <c:v>1.2095241789099709</c:v>
                </c:pt>
                <c:pt idx="37">
                  <c:v>1.2324479885815349</c:v>
                </c:pt>
                <c:pt idx="38">
                  <c:v>1.2558186077540063</c:v>
                </c:pt>
                <c:pt idx="39">
                  <c:v>1.2791395814263771</c:v>
                </c:pt>
                <c:pt idx="40">
                  <c:v>1.3039995656018739</c:v>
                </c:pt>
                <c:pt idx="41">
                  <c:v>1.327457064399522</c:v>
                </c:pt>
                <c:pt idx="42">
                  <c:v>1.3534216609522627</c:v>
                </c:pt>
                <c:pt idx="43">
                  <c:v>1.3806894518826502</c:v>
                </c:pt>
                <c:pt idx="44">
                  <c:v>1.4077090153125338</c:v>
                </c:pt>
                <c:pt idx="45">
                  <c:v>1.4346541104922661</c:v>
                </c:pt>
                <c:pt idx="46">
                  <c:v>1.4673829064337465</c:v>
                </c:pt>
                <c:pt idx="47">
                  <c:v>1.4986347487472269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D12-4DD5-8A7A-FA7153A6117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'SPM_Figure 7-2'!$A$5:$A$55</c:f>
              <c:numCache>
                <c:formatCode>General</c:formatCode>
                <c:ptCount val="51"/>
                <c:pt idx="0">
                  <c:v>0</c:v>
                </c:pt>
                <c:pt idx="1">
                  <c:v>4.0000000000000002E-4</c:v>
                </c:pt>
                <c:pt idx="2">
                  <c:v>8.0000000000000004E-4</c:v>
                </c:pt>
                <c:pt idx="3">
                  <c:v>1.2000000000000001E-3</c:v>
                </c:pt>
                <c:pt idx="4">
                  <c:v>1.6000000000000001E-3</c:v>
                </c:pt>
                <c:pt idx="5">
                  <c:v>2E-3</c:v>
                </c:pt>
                <c:pt idx="6">
                  <c:v>2.4000000000000002E-3</c:v>
                </c:pt>
                <c:pt idx="7">
                  <c:v>2.8000000000000004E-3</c:v>
                </c:pt>
                <c:pt idx="8">
                  <c:v>3.2000000000000006E-3</c:v>
                </c:pt>
                <c:pt idx="9">
                  <c:v>3.6000000000000008E-3</c:v>
                </c:pt>
                <c:pt idx="10">
                  <c:v>4.000000000000001E-3</c:v>
                </c:pt>
                <c:pt idx="11">
                  <c:v>4.4000000000000011E-3</c:v>
                </c:pt>
                <c:pt idx="12">
                  <c:v>4.8000000000000013E-3</c:v>
                </c:pt>
                <c:pt idx="13">
                  <c:v>5.2000000000000015E-3</c:v>
                </c:pt>
                <c:pt idx="14">
                  <c:v>5.6000000000000017E-3</c:v>
                </c:pt>
                <c:pt idx="15">
                  <c:v>6.0000000000000019E-3</c:v>
                </c:pt>
                <c:pt idx="16">
                  <c:v>6.400000000000002E-3</c:v>
                </c:pt>
                <c:pt idx="17">
                  <c:v>6.8000000000000022E-3</c:v>
                </c:pt>
                <c:pt idx="18">
                  <c:v>7.2000000000000024E-3</c:v>
                </c:pt>
                <c:pt idx="19">
                  <c:v>7.6000000000000026E-3</c:v>
                </c:pt>
                <c:pt idx="20">
                  <c:v>8.0000000000000019E-3</c:v>
                </c:pt>
                <c:pt idx="21">
                  <c:v>8.4000000000000012E-3</c:v>
                </c:pt>
                <c:pt idx="22">
                  <c:v>8.8000000000000005E-3</c:v>
                </c:pt>
                <c:pt idx="23">
                  <c:v>9.1999999999999998E-3</c:v>
                </c:pt>
                <c:pt idx="24">
                  <c:v>9.5999999999999992E-3</c:v>
                </c:pt>
                <c:pt idx="25">
                  <c:v>9.9999999999999985E-3</c:v>
                </c:pt>
                <c:pt idx="26">
                  <c:v>1.0399999999999998E-2</c:v>
                </c:pt>
                <c:pt idx="27">
                  <c:v>1.0799999999999997E-2</c:v>
                </c:pt>
                <c:pt idx="28">
                  <c:v>1.1199999999999996E-2</c:v>
                </c:pt>
                <c:pt idx="29">
                  <c:v>1.1599999999999996E-2</c:v>
                </c:pt>
                <c:pt idx="30">
                  <c:v>1.1999999999999995E-2</c:v>
                </c:pt>
                <c:pt idx="31">
                  <c:v>1.2399999999999994E-2</c:v>
                </c:pt>
                <c:pt idx="32">
                  <c:v>1.2799999999999994E-2</c:v>
                </c:pt>
                <c:pt idx="33">
                  <c:v>1.3199999999999993E-2</c:v>
                </c:pt>
                <c:pt idx="34">
                  <c:v>1.3599999999999992E-2</c:v>
                </c:pt>
                <c:pt idx="35">
                  <c:v>1.3999999999999992E-2</c:v>
                </c:pt>
                <c:pt idx="36">
                  <c:v>1.4399999999999991E-2</c:v>
                </c:pt>
                <c:pt idx="37">
                  <c:v>1.479999999999999E-2</c:v>
                </c:pt>
                <c:pt idx="38">
                  <c:v>1.519999999999999E-2</c:v>
                </c:pt>
                <c:pt idx="39">
                  <c:v>1.5599999999999989E-2</c:v>
                </c:pt>
                <c:pt idx="40">
                  <c:v>1.599999999999999E-2</c:v>
                </c:pt>
                <c:pt idx="41">
                  <c:v>1.6399999999999991E-2</c:v>
                </c:pt>
                <c:pt idx="42">
                  <c:v>1.6799999999999992E-2</c:v>
                </c:pt>
                <c:pt idx="43">
                  <c:v>1.7199999999999993E-2</c:v>
                </c:pt>
                <c:pt idx="44">
                  <c:v>1.7599999999999994E-2</c:v>
                </c:pt>
                <c:pt idx="45">
                  <c:v>1.7999999999999995E-2</c:v>
                </c:pt>
                <c:pt idx="46">
                  <c:v>1.8399999999999996E-2</c:v>
                </c:pt>
                <c:pt idx="47">
                  <c:v>1.8799999999999997E-2</c:v>
                </c:pt>
                <c:pt idx="48">
                  <c:v>1.9199999999999998E-2</c:v>
                </c:pt>
                <c:pt idx="49">
                  <c:v>1.9599999999999999E-2</c:v>
                </c:pt>
                <c:pt idx="50">
                  <c:v>0.02</c:v>
                </c:pt>
              </c:numCache>
            </c:numRef>
          </c:cat>
          <c:val>
            <c:numRef>
              <c:f>'SPM_Figure 7-2'!$E$5:$E$55</c:f>
              <c:numCache>
                <c:formatCode>0.000</c:formatCode>
                <c:ptCount val="51"/>
                <c:pt idx="0">
                  <c:v>0.80276774140166041</c:v>
                </c:pt>
                <c:pt idx="1">
                  <c:v>0.81361530187274189</c:v>
                </c:pt>
                <c:pt idx="2">
                  <c:v>0.82297349477342308</c:v>
                </c:pt>
                <c:pt idx="3">
                  <c:v>0.83063132636456416</c:v>
                </c:pt>
                <c:pt idx="4">
                  <c:v>0.83892213917312519</c:v>
                </c:pt>
                <c:pt idx="5">
                  <c:v>0.8474611799100864</c:v>
                </c:pt>
                <c:pt idx="6">
                  <c:v>0.85448603028380732</c:v>
                </c:pt>
                <c:pt idx="7">
                  <c:v>0.86192045673938833</c:v>
                </c:pt>
                <c:pt idx="8">
                  <c:v>0.8695782883305293</c:v>
                </c:pt>
                <c:pt idx="9">
                  <c:v>0.87681413244339024</c:v>
                </c:pt>
                <c:pt idx="10">
                  <c:v>0.8853159389910914</c:v>
                </c:pt>
                <c:pt idx="11">
                  <c:v>0.8959897399122928</c:v>
                </c:pt>
                <c:pt idx="12">
                  <c:v>0.90662630664423427</c:v>
                </c:pt>
                <c:pt idx="13">
                  <c:v>0.91831784207187583</c:v>
                </c:pt>
                <c:pt idx="14">
                  <c:v>0.93086576385249753</c:v>
                </c:pt>
                <c:pt idx="15">
                  <c:v>0.94328957166891914</c:v>
                </c:pt>
                <c:pt idx="16">
                  <c:v>0.9539261384008606</c:v>
                </c:pt>
                <c:pt idx="17">
                  <c:v>0.9660396613067822</c:v>
                </c:pt>
                <c:pt idx="18">
                  <c:v>0.9792329757012439</c:v>
                </c:pt>
                <c:pt idx="19">
                  <c:v>0.99581460131836619</c:v>
                </c:pt>
                <c:pt idx="20">
                  <c:v>1.0088838017486279</c:v>
                </c:pt>
                <c:pt idx="21">
                  <c:v>1.02483244614833</c:v>
                </c:pt>
                <c:pt idx="22">
                  <c:v>1.0373803679289517</c:v>
                </c:pt>
                <c:pt idx="23">
                  <c:v>1.0520506384973936</c:v>
                </c:pt>
                <c:pt idx="24">
                  <c:v>1.0660879278484154</c:v>
                </c:pt>
                <c:pt idx="25">
                  <c:v>1.0818255785089776</c:v>
                </c:pt>
                <c:pt idx="26">
                  <c:v>1.09916429930772</c:v>
                </c:pt>
                <c:pt idx="27">
                  <c:v>1.114901949968282</c:v>
                </c:pt>
                <c:pt idx="28">
                  <c:v>1.1308505943679843</c:v>
                </c:pt>
                <c:pt idx="29">
                  <c:v>1.1489215875555066</c:v>
                </c:pt>
                <c:pt idx="30">
                  <c:v>1.167526270789089</c:v>
                </c:pt>
                <c:pt idx="31">
                  <c:v>1.1866646440687316</c:v>
                </c:pt>
                <c:pt idx="32">
                  <c:v>1.2079253661361944</c:v>
                </c:pt>
                <c:pt idx="33">
                  <c:v>1.227498138290537</c:v>
                </c:pt>
                <c:pt idx="34">
                  <c:v>1.2467606255343795</c:v>
                </c:pt>
                <c:pt idx="35">
                  <c:v>1.2671773726452824</c:v>
                </c:pt>
                <c:pt idx="36">
                  <c:v>1.2897164685440052</c:v>
                </c:pt>
                <c:pt idx="37">
                  <c:v>1.3118335769644482</c:v>
                </c:pt>
                <c:pt idx="38">
                  <c:v>1.3338265714206912</c:v>
                </c:pt>
                <c:pt idx="39">
                  <c:v>1.3574330474115341</c:v>
                </c:pt>
                <c:pt idx="40">
                  <c:v>1.3818834983589376</c:v>
                </c:pt>
                <c:pt idx="41">
                  <c:v>1.4041247207435805</c:v>
                </c:pt>
                <c:pt idx="42">
                  <c:v>1.4264528229031637</c:v>
                </c:pt>
                <c:pt idx="43">
                  <c:v>1.453038034034807</c:v>
                </c:pt>
                <c:pt idx="44">
                  <c:v>1.4804672201230107</c:v>
                </c:pt>
                <c:pt idx="45">
                  <c:v>1.5080205201754144</c:v>
                </c:pt>
                <c:pt idx="46">
                  <c:v>1.5399178089748187</c:v>
                </c:pt>
                <c:pt idx="47">
                  <c:v>1.5714675786744627</c:v>
                </c:pt>
                <c:pt idx="48">
                  <c:v>1.6029056458063271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D12-4DD5-8A7A-FA7153A6117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'SPM_Figure 7-2'!$A$5:$A$55</c:f>
              <c:numCache>
                <c:formatCode>General</c:formatCode>
                <c:ptCount val="51"/>
                <c:pt idx="0">
                  <c:v>0</c:v>
                </c:pt>
                <c:pt idx="1">
                  <c:v>4.0000000000000002E-4</c:v>
                </c:pt>
                <c:pt idx="2">
                  <c:v>8.0000000000000004E-4</c:v>
                </c:pt>
                <c:pt idx="3">
                  <c:v>1.2000000000000001E-3</c:v>
                </c:pt>
                <c:pt idx="4">
                  <c:v>1.6000000000000001E-3</c:v>
                </c:pt>
                <c:pt idx="5">
                  <c:v>2E-3</c:v>
                </c:pt>
                <c:pt idx="6">
                  <c:v>2.4000000000000002E-3</c:v>
                </c:pt>
                <c:pt idx="7">
                  <c:v>2.8000000000000004E-3</c:v>
                </c:pt>
                <c:pt idx="8">
                  <c:v>3.2000000000000006E-3</c:v>
                </c:pt>
                <c:pt idx="9">
                  <c:v>3.6000000000000008E-3</c:v>
                </c:pt>
                <c:pt idx="10">
                  <c:v>4.000000000000001E-3</c:v>
                </c:pt>
                <c:pt idx="11">
                  <c:v>4.4000000000000011E-3</c:v>
                </c:pt>
                <c:pt idx="12">
                  <c:v>4.8000000000000013E-3</c:v>
                </c:pt>
                <c:pt idx="13">
                  <c:v>5.2000000000000015E-3</c:v>
                </c:pt>
                <c:pt idx="14">
                  <c:v>5.6000000000000017E-3</c:v>
                </c:pt>
                <c:pt idx="15">
                  <c:v>6.0000000000000019E-3</c:v>
                </c:pt>
                <c:pt idx="16">
                  <c:v>6.400000000000002E-3</c:v>
                </c:pt>
                <c:pt idx="17">
                  <c:v>6.8000000000000022E-3</c:v>
                </c:pt>
                <c:pt idx="18">
                  <c:v>7.2000000000000024E-3</c:v>
                </c:pt>
                <c:pt idx="19">
                  <c:v>7.6000000000000026E-3</c:v>
                </c:pt>
                <c:pt idx="20">
                  <c:v>8.0000000000000019E-3</c:v>
                </c:pt>
                <c:pt idx="21">
                  <c:v>8.4000000000000012E-3</c:v>
                </c:pt>
                <c:pt idx="22">
                  <c:v>8.8000000000000005E-3</c:v>
                </c:pt>
                <c:pt idx="23">
                  <c:v>9.1999999999999998E-3</c:v>
                </c:pt>
                <c:pt idx="24">
                  <c:v>9.5999999999999992E-3</c:v>
                </c:pt>
                <c:pt idx="25">
                  <c:v>9.9999999999999985E-3</c:v>
                </c:pt>
                <c:pt idx="26">
                  <c:v>1.0399999999999998E-2</c:v>
                </c:pt>
                <c:pt idx="27">
                  <c:v>1.0799999999999997E-2</c:v>
                </c:pt>
                <c:pt idx="28">
                  <c:v>1.1199999999999996E-2</c:v>
                </c:pt>
                <c:pt idx="29">
                  <c:v>1.1599999999999996E-2</c:v>
                </c:pt>
                <c:pt idx="30">
                  <c:v>1.1999999999999995E-2</c:v>
                </c:pt>
                <c:pt idx="31">
                  <c:v>1.2399999999999994E-2</c:v>
                </c:pt>
                <c:pt idx="32">
                  <c:v>1.2799999999999994E-2</c:v>
                </c:pt>
                <c:pt idx="33">
                  <c:v>1.3199999999999993E-2</c:v>
                </c:pt>
                <c:pt idx="34">
                  <c:v>1.3599999999999992E-2</c:v>
                </c:pt>
                <c:pt idx="35">
                  <c:v>1.3999999999999992E-2</c:v>
                </c:pt>
                <c:pt idx="36">
                  <c:v>1.4399999999999991E-2</c:v>
                </c:pt>
                <c:pt idx="37">
                  <c:v>1.479999999999999E-2</c:v>
                </c:pt>
                <c:pt idx="38">
                  <c:v>1.519999999999999E-2</c:v>
                </c:pt>
                <c:pt idx="39">
                  <c:v>1.5599999999999989E-2</c:v>
                </c:pt>
                <c:pt idx="40">
                  <c:v>1.599999999999999E-2</c:v>
                </c:pt>
                <c:pt idx="41">
                  <c:v>1.6399999999999991E-2</c:v>
                </c:pt>
                <c:pt idx="42">
                  <c:v>1.6799999999999992E-2</c:v>
                </c:pt>
                <c:pt idx="43">
                  <c:v>1.7199999999999993E-2</c:v>
                </c:pt>
                <c:pt idx="44">
                  <c:v>1.7599999999999994E-2</c:v>
                </c:pt>
                <c:pt idx="45">
                  <c:v>1.7999999999999995E-2</c:v>
                </c:pt>
                <c:pt idx="46">
                  <c:v>1.8399999999999996E-2</c:v>
                </c:pt>
                <c:pt idx="47">
                  <c:v>1.8799999999999997E-2</c:v>
                </c:pt>
                <c:pt idx="48">
                  <c:v>1.9199999999999998E-2</c:v>
                </c:pt>
                <c:pt idx="49">
                  <c:v>1.9599999999999999E-2</c:v>
                </c:pt>
                <c:pt idx="50">
                  <c:v>0.02</c:v>
                </c:pt>
              </c:numCache>
            </c:numRef>
          </c:cat>
          <c:val>
            <c:numRef>
              <c:f>'SPM_Figure 7-2'!$F$5:$F$55</c:f>
              <c:numCache>
                <c:formatCode>0.000</c:formatCode>
                <c:ptCount val="51"/>
                <c:pt idx="0">
                  <c:v>0.87995390070921986</c:v>
                </c:pt>
                <c:pt idx="1">
                  <c:v>0.88960992907801417</c:v>
                </c:pt>
                <c:pt idx="2">
                  <c:v>0.89890602836879441</c:v>
                </c:pt>
                <c:pt idx="3">
                  <c:v>0.90862411347517735</c:v>
                </c:pt>
                <c:pt idx="4">
                  <c:v>0.91660460992907811</c:v>
                </c:pt>
                <c:pt idx="5">
                  <c:v>0.92499468085106384</c:v>
                </c:pt>
                <c:pt idx="6">
                  <c:v>0.93267730496453904</c:v>
                </c:pt>
                <c:pt idx="7">
                  <c:v>0.93988829787234041</c:v>
                </c:pt>
                <c:pt idx="8">
                  <c:v>0.94673936170212769</c:v>
                </c:pt>
                <c:pt idx="9">
                  <c:v>0.95427304964539017</c:v>
                </c:pt>
                <c:pt idx="10">
                  <c:v>0.96410283687943266</c:v>
                </c:pt>
                <c:pt idx="11">
                  <c:v>0.97492553191489362</c:v>
                </c:pt>
                <c:pt idx="12">
                  <c:v>0.98526418439716312</c:v>
                </c:pt>
                <c:pt idx="13">
                  <c:v>0.99699290780141847</c:v>
                </c:pt>
                <c:pt idx="14">
                  <c:v>1.0090691489361703</c:v>
                </c:pt>
                <c:pt idx="15">
                  <c:v>1.0212695035460992</c:v>
                </c:pt>
                <c:pt idx="16">
                  <c:v>1.0331471631205675</c:v>
                </c:pt>
                <c:pt idx="17">
                  <c:v>1.0450744680851063</c:v>
                </c:pt>
                <c:pt idx="18">
                  <c:v>1.0584663120567377</c:v>
                </c:pt>
                <c:pt idx="19">
                  <c:v>1.072168439716312</c:v>
                </c:pt>
                <c:pt idx="20">
                  <c:v>1.0852624113475178</c:v>
                </c:pt>
                <c:pt idx="21">
                  <c:v>1.0999946808510639</c:v>
                </c:pt>
                <c:pt idx="22">
                  <c:v>1.1138457446808512</c:v>
                </c:pt>
                <c:pt idx="23">
                  <c:v>1.1282429078014184</c:v>
                </c:pt>
                <c:pt idx="24">
                  <c:v>1.141709219858156</c:v>
                </c:pt>
                <c:pt idx="25">
                  <c:v>1.1545797872340426</c:v>
                </c:pt>
                <c:pt idx="26">
                  <c:v>1.1694485815602838</c:v>
                </c:pt>
                <c:pt idx="27">
                  <c:v>1.1846773049645392</c:v>
                </c:pt>
                <c:pt idx="28">
                  <c:v>1.2000053191489362</c:v>
                </c:pt>
                <c:pt idx="29">
                  <c:v>1.2151719858156029</c:v>
                </c:pt>
                <c:pt idx="30">
                  <c:v>1.2307234042553192</c:v>
                </c:pt>
                <c:pt idx="31">
                  <c:v>1.2471932624113475</c:v>
                </c:pt>
                <c:pt idx="32">
                  <c:v>1.2633031914893618</c:v>
                </c:pt>
                <c:pt idx="33">
                  <c:v>1.2818581560283688</c:v>
                </c:pt>
                <c:pt idx="34">
                  <c:v>1.300636524822695</c:v>
                </c:pt>
                <c:pt idx="35">
                  <c:v>1.3187819148936171</c:v>
                </c:pt>
                <c:pt idx="36">
                  <c:v>1.3383546099290782</c:v>
                </c:pt>
                <c:pt idx="37">
                  <c:v>1.3580017730496454</c:v>
                </c:pt>
                <c:pt idx="38">
                  <c:v>1.3779840425531915</c:v>
                </c:pt>
                <c:pt idx="39">
                  <c:v>1.3976187943262413</c:v>
                </c:pt>
                <c:pt idx="40">
                  <c:v>1.4169060283687944</c:v>
                </c:pt>
                <c:pt idx="41">
                  <c:v>1.4373599290780144</c:v>
                </c:pt>
                <c:pt idx="42">
                  <c:v>1.4619716312056736</c:v>
                </c:pt>
                <c:pt idx="43">
                  <c:v>1.4862234042553193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D12-4DD5-8A7A-FA7153A6117D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'SPM_Figure 7-2'!$A$5:$A$55</c:f>
              <c:numCache>
                <c:formatCode>General</c:formatCode>
                <c:ptCount val="51"/>
                <c:pt idx="0">
                  <c:v>0</c:v>
                </c:pt>
                <c:pt idx="1">
                  <c:v>4.0000000000000002E-4</c:v>
                </c:pt>
                <c:pt idx="2">
                  <c:v>8.0000000000000004E-4</c:v>
                </c:pt>
                <c:pt idx="3">
                  <c:v>1.2000000000000001E-3</c:v>
                </c:pt>
                <c:pt idx="4">
                  <c:v>1.6000000000000001E-3</c:v>
                </c:pt>
                <c:pt idx="5">
                  <c:v>2E-3</c:v>
                </c:pt>
                <c:pt idx="6">
                  <c:v>2.4000000000000002E-3</c:v>
                </c:pt>
                <c:pt idx="7">
                  <c:v>2.8000000000000004E-3</c:v>
                </c:pt>
                <c:pt idx="8">
                  <c:v>3.2000000000000006E-3</c:v>
                </c:pt>
                <c:pt idx="9">
                  <c:v>3.6000000000000008E-3</c:v>
                </c:pt>
                <c:pt idx="10">
                  <c:v>4.000000000000001E-3</c:v>
                </c:pt>
                <c:pt idx="11">
                  <c:v>4.4000000000000011E-3</c:v>
                </c:pt>
                <c:pt idx="12">
                  <c:v>4.8000000000000013E-3</c:v>
                </c:pt>
                <c:pt idx="13">
                  <c:v>5.2000000000000015E-3</c:v>
                </c:pt>
                <c:pt idx="14">
                  <c:v>5.6000000000000017E-3</c:v>
                </c:pt>
                <c:pt idx="15">
                  <c:v>6.0000000000000019E-3</c:v>
                </c:pt>
                <c:pt idx="16">
                  <c:v>6.400000000000002E-3</c:v>
                </c:pt>
                <c:pt idx="17">
                  <c:v>6.8000000000000022E-3</c:v>
                </c:pt>
                <c:pt idx="18">
                  <c:v>7.2000000000000024E-3</c:v>
                </c:pt>
                <c:pt idx="19">
                  <c:v>7.6000000000000026E-3</c:v>
                </c:pt>
                <c:pt idx="20">
                  <c:v>8.0000000000000019E-3</c:v>
                </c:pt>
                <c:pt idx="21">
                  <c:v>8.4000000000000012E-3</c:v>
                </c:pt>
                <c:pt idx="22">
                  <c:v>8.8000000000000005E-3</c:v>
                </c:pt>
                <c:pt idx="23">
                  <c:v>9.1999999999999998E-3</c:v>
                </c:pt>
                <c:pt idx="24">
                  <c:v>9.5999999999999992E-3</c:v>
                </c:pt>
                <c:pt idx="25">
                  <c:v>9.9999999999999985E-3</c:v>
                </c:pt>
                <c:pt idx="26">
                  <c:v>1.0399999999999998E-2</c:v>
                </c:pt>
                <c:pt idx="27">
                  <c:v>1.0799999999999997E-2</c:v>
                </c:pt>
                <c:pt idx="28">
                  <c:v>1.1199999999999996E-2</c:v>
                </c:pt>
                <c:pt idx="29">
                  <c:v>1.1599999999999996E-2</c:v>
                </c:pt>
                <c:pt idx="30">
                  <c:v>1.1999999999999995E-2</c:v>
                </c:pt>
                <c:pt idx="31">
                  <c:v>1.2399999999999994E-2</c:v>
                </c:pt>
                <c:pt idx="32">
                  <c:v>1.2799999999999994E-2</c:v>
                </c:pt>
                <c:pt idx="33">
                  <c:v>1.3199999999999993E-2</c:v>
                </c:pt>
                <c:pt idx="34">
                  <c:v>1.3599999999999992E-2</c:v>
                </c:pt>
                <c:pt idx="35">
                  <c:v>1.3999999999999992E-2</c:v>
                </c:pt>
                <c:pt idx="36">
                  <c:v>1.4399999999999991E-2</c:v>
                </c:pt>
                <c:pt idx="37">
                  <c:v>1.479999999999999E-2</c:v>
                </c:pt>
                <c:pt idx="38">
                  <c:v>1.519999999999999E-2</c:v>
                </c:pt>
                <c:pt idx="39">
                  <c:v>1.5599999999999989E-2</c:v>
                </c:pt>
                <c:pt idx="40">
                  <c:v>1.599999999999999E-2</c:v>
                </c:pt>
                <c:pt idx="41">
                  <c:v>1.6399999999999991E-2</c:v>
                </c:pt>
                <c:pt idx="42">
                  <c:v>1.6799999999999992E-2</c:v>
                </c:pt>
                <c:pt idx="43">
                  <c:v>1.7199999999999993E-2</c:v>
                </c:pt>
                <c:pt idx="44">
                  <c:v>1.7599999999999994E-2</c:v>
                </c:pt>
                <c:pt idx="45">
                  <c:v>1.7999999999999995E-2</c:v>
                </c:pt>
                <c:pt idx="46">
                  <c:v>1.8399999999999996E-2</c:v>
                </c:pt>
                <c:pt idx="47">
                  <c:v>1.8799999999999997E-2</c:v>
                </c:pt>
                <c:pt idx="48">
                  <c:v>1.9199999999999998E-2</c:v>
                </c:pt>
                <c:pt idx="49">
                  <c:v>1.9599999999999999E-2</c:v>
                </c:pt>
                <c:pt idx="50">
                  <c:v>0.02</c:v>
                </c:pt>
              </c:numCache>
            </c:numRef>
          </c:cat>
          <c:val>
            <c:numRef>
              <c:f>'SPM_Figure 7-2'!$G$5:$G$55</c:f>
              <c:numCache>
                <c:formatCode>0.000</c:formatCode>
                <c:ptCount val="51"/>
                <c:pt idx="0">
                  <c:v>0.98821923248771282</c:v>
                </c:pt>
                <c:pt idx="1">
                  <c:v>0.99937695477337041</c:v>
                </c:pt>
                <c:pt idx="2">
                  <c:v>1.0085488755398897</c:v>
                </c:pt>
                <c:pt idx="3">
                  <c:v>1.0183785930596236</c:v>
                </c:pt>
                <c:pt idx="4">
                  <c:v>1.0274015787122077</c:v>
                </c:pt>
                <c:pt idx="5">
                  <c:v>1.0349476244849327</c:v>
                </c:pt>
                <c:pt idx="6">
                  <c:v>1.0430769994539046</c:v>
                </c:pt>
                <c:pt idx="7">
                  <c:v>1.0505485776696619</c:v>
                </c:pt>
                <c:pt idx="8">
                  <c:v>1.0570893114233233</c:v>
                </c:pt>
                <c:pt idx="9">
                  <c:v>1.0657771930695528</c:v>
                </c:pt>
                <c:pt idx="10">
                  <c:v>1.0719828228168595</c:v>
                </c:pt>
                <c:pt idx="11">
                  <c:v>1.0797522712604875</c:v>
                </c:pt>
                <c:pt idx="12">
                  <c:v>1.0882043389763194</c:v>
                </c:pt>
                <c:pt idx="13">
                  <c:v>1.0986049744328055</c:v>
                </c:pt>
                <c:pt idx="14">
                  <c:v>1.1062130765030036</c:v>
                </c:pt>
                <c:pt idx="15">
                  <c:v>1.1145658541428785</c:v>
                </c:pt>
                <c:pt idx="16">
                  <c:v>1.1250037233778485</c:v>
                </c:pt>
                <c:pt idx="17">
                  <c:v>1.1347465620811201</c:v>
                </c:pt>
                <c:pt idx="18">
                  <c:v>1.1443776994489401</c:v>
                </c:pt>
                <c:pt idx="19">
                  <c:v>1.1551506726902647</c:v>
                </c:pt>
                <c:pt idx="20">
                  <c:v>1.1659236459315891</c:v>
                </c:pt>
                <c:pt idx="21">
                  <c:v>1.1774661172615797</c:v>
                </c:pt>
                <c:pt idx="22">
                  <c:v>1.1891699349650002</c:v>
                </c:pt>
                <c:pt idx="23">
                  <c:v>1.1999925532443032</c:v>
                </c:pt>
                <c:pt idx="24">
                  <c:v>1.2123293451819492</c:v>
                </c:pt>
                <c:pt idx="25">
                  <c:v>1.222643101821973</c:v>
                </c:pt>
                <c:pt idx="26">
                  <c:v>1.2345703221962965</c:v>
                </c:pt>
                <c:pt idx="27">
                  <c:v>1.2458893908553841</c:v>
                </c:pt>
                <c:pt idx="28">
                  <c:v>1.2568981780271062</c:v>
                </c:pt>
                <c:pt idx="29">
                  <c:v>1.2702030482053319</c:v>
                </c:pt>
                <c:pt idx="30">
                  <c:v>1.2825770739214617</c:v>
                </c:pt>
                <c:pt idx="31">
                  <c:v>1.2954847837958596</c:v>
                </c:pt>
                <c:pt idx="32">
                  <c:v>1.3072382465372585</c:v>
                </c:pt>
                <c:pt idx="33">
                  <c:v>1.3206299955319465</c:v>
                </c:pt>
                <c:pt idx="34">
                  <c:v>1.3382043389763194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D12-4DD5-8A7A-FA7153A6117D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'SPM_Figure 7-2'!$A$5:$A$55</c:f>
              <c:numCache>
                <c:formatCode>General</c:formatCode>
                <c:ptCount val="51"/>
                <c:pt idx="0">
                  <c:v>0</c:v>
                </c:pt>
                <c:pt idx="1">
                  <c:v>4.0000000000000002E-4</c:v>
                </c:pt>
                <c:pt idx="2">
                  <c:v>8.0000000000000004E-4</c:v>
                </c:pt>
                <c:pt idx="3">
                  <c:v>1.2000000000000001E-3</c:v>
                </c:pt>
                <c:pt idx="4">
                  <c:v>1.6000000000000001E-3</c:v>
                </c:pt>
                <c:pt idx="5">
                  <c:v>2E-3</c:v>
                </c:pt>
                <c:pt idx="6">
                  <c:v>2.4000000000000002E-3</c:v>
                </c:pt>
                <c:pt idx="7">
                  <c:v>2.8000000000000004E-3</c:v>
                </c:pt>
                <c:pt idx="8">
                  <c:v>3.2000000000000006E-3</c:v>
                </c:pt>
                <c:pt idx="9">
                  <c:v>3.6000000000000008E-3</c:v>
                </c:pt>
                <c:pt idx="10">
                  <c:v>4.000000000000001E-3</c:v>
                </c:pt>
                <c:pt idx="11">
                  <c:v>4.4000000000000011E-3</c:v>
                </c:pt>
                <c:pt idx="12">
                  <c:v>4.8000000000000013E-3</c:v>
                </c:pt>
                <c:pt idx="13">
                  <c:v>5.2000000000000015E-3</c:v>
                </c:pt>
                <c:pt idx="14">
                  <c:v>5.6000000000000017E-3</c:v>
                </c:pt>
                <c:pt idx="15">
                  <c:v>6.0000000000000019E-3</c:v>
                </c:pt>
                <c:pt idx="16">
                  <c:v>6.400000000000002E-3</c:v>
                </c:pt>
                <c:pt idx="17">
                  <c:v>6.8000000000000022E-3</c:v>
                </c:pt>
                <c:pt idx="18">
                  <c:v>7.2000000000000024E-3</c:v>
                </c:pt>
                <c:pt idx="19">
                  <c:v>7.6000000000000026E-3</c:v>
                </c:pt>
                <c:pt idx="20">
                  <c:v>8.0000000000000019E-3</c:v>
                </c:pt>
                <c:pt idx="21">
                  <c:v>8.4000000000000012E-3</c:v>
                </c:pt>
                <c:pt idx="22">
                  <c:v>8.8000000000000005E-3</c:v>
                </c:pt>
                <c:pt idx="23">
                  <c:v>9.1999999999999998E-3</c:v>
                </c:pt>
                <c:pt idx="24">
                  <c:v>9.5999999999999992E-3</c:v>
                </c:pt>
                <c:pt idx="25">
                  <c:v>9.9999999999999985E-3</c:v>
                </c:pt>
                <c:pt idx="26">
                  <c:v>1.0399999999999998E-2</c:v>
                </c:pt>
                <c:pt idx="27">
                  <c:v>1.0799999999999997E-2</c:v>
                </c:pt>
                <c:pt idx="28">
                  <c:v>1.1199999999999996E-2</c:v>
                </c:pt>
                <c:pt idx="29">
                  <c:v>1.1599999999999996E-2</c:v>
                </c:pt>
                <c:pt idx="30">
                  <c:v>1.1999999999999995E-2</c:v>
                </c:pt>
                <c:pt idx="31">
                  <c:v>1.2399999999999994E-2</c:v>
                </c:pt>
                <c:pt idx="32">
                  <c:v>1.2799999999999994E-2</c:v>
                </c:pt>
                <c:pt idx="33">
                  <c:v>1.3199999999999993E-2</c:v>
                </c:pt>
                <c:pt idx="34">
                  <c:v>1.3599999999999992E-2</c:v>
                </c:pt>
                <c:pt idx="35">
                  <c:v>1.3999999999999992E-2</c:v>
                </c:pt>
                <c:pt idx="36">
                  <c:v>1.4399999999999991E-2</c:v>
                </c:pt>
                <c:pt idx="37">
                  <c:v>1.479999999999999E-2</c:v>
                </c:pt>
                <c:pt idx="38">
                  <c:v>1.519999999999999E-2</c:v>
                </c:pt>
                <c:pt idx="39">
                  <c:v>1.5599999999999989E-2</c:v>
                </c:pt>
                <c:pt idx="40">
                  <c:v>1.599999999999999E-2</c:v>
                </c:pt>
                <c:pt idx="41">
                  <c:v>1.6399999999999991E-2</c:v>
                </c:pt>
                <c:pt idx="42">
                  <c:v>1.6799999999999992E-2</c:v>
                </c:pt>
                <c:pt idx="43">
                  <c:v>1.7199999999999993E-2</c:v>
                </c:pt>
                <c:pt idx="44">
                  <c:v>1.7599999999999994E-2</c:v>
                </c:pt>
                <c:pt idx="45">
                  <c:v>1.7999999999999995E-2</c:v>
                </c:pt>
                <c:pt idx="46">
                  <c:v>1.8399999999999996E-2</c:v>
                </c:pt>
                <c:pt idx="47">
                  <c:v>1.8799999999999997E-2</c:v>
                </c:pt>
                <c:pt idx="48">
                  <c:v>1.9199999999999998E-2</c:v>
                </c:pt>
                <c:pt idx="49">
                  <c:v>1.9599999999999999E-2</c:v>
                </c:pt>
                <c:pt idx="50">
                  <c:v>0.02</c:v>
                </c:pt>
              </c:numCache>
            </c:numRef>
          </c:cat>
          <c:val>
            <c:numRef>
              <c:f>'SPM_Figure 7-2'!$H$5:$H$55</c:f>
              <c:numCache>
                <c:formatCode>0.000</c:formatCode>
                <c:ptCount val="51"/>
                <c:pt idx="0">
                  <c:v>1.0577492320580844</c:v>
                </c:pt>
                <c:pt idx="1">
                  <c:v>1.0714635886934127</c:v>
                </c:pt>
                <c:pt idx="2">
                  <c:v>1.0834403797821837</c:v>
                </c:pt>
                <c:pt idx="3">
                  <c:v>1.0946600887399547</c:v>
                </c:pt>
                <c:pt idx="4">
                  <c:v>1.1030996928232337</c:v>
                </c:pt>
                <c:pt idx="5">
                  <c:v>1.1110056160600701</c:v>
                </c:pt>
                <c:pt idx="6">
                  <c:v>1.1185019702752179</c:v>
                </c:pt>
                <c:pt idx="7">
                  <c:v>1.1256259890161036</c:v>
                </c:pt>
                <c:pt idx="8">
                  <c:v>1.1313351329547923</c:v>
                </c:pt>
                <c:pt idx="9">
                  <c:v>1.1372925005429892</c:v>
                </c:pt>
                <c:pt idx="10">
                  <c:v>1.143001644481678</c:v>
                </c:pt>
                <c:pt idx="11">
                  <c:v>1.1490458903472027</c:v>
                </c:pt>
                <c:pt idx="12">
                  <c:v>1.1552018368550063</c:v>
                </c:pt>
                <c:pt idx="13">
                  <c:v>1.1610971485308264</c:v>
                </c:pt>
                <c:pt idx="14">
                  <c:v>1.1681094666294332</c:v>
                </c:pt>
                <c:pt idx="15">
                  <c:v>1.174910794625958</c:v>
                </c:pt>
                <c:pt idx="16">
                  <c:v>1.1817369449874338</c:v>
                </c:pt>
                <c:pt idx="17">
                  <c:v>1.1896552794067454</c:v>
                </c:pt>
                <c:pt idx="18">
                  <c:v>1.1971268112569424</c:v>
                </c:pt>
                <c:pt idx="19">
                  <c:v>1.2046231654720905</c:v>
                </c:pt>
                <c:pt idx="20">
                  <c:v>1.2119954078624842</c:v>
                </c:pt>
                <c:pt idx="21">
                  <c:v>1.220459834310714</c:v>
                </c:pt>
                <c:pt idx="22">
                  <c:v>1.2285519252846815</c:v>
                </c:pt>
                <c:pt idx="23">
                  <c:v>1.2356387104781408</c:v>
                </c:pt>
                <c:pt idx="24">
                  <c:v>1.2447981631449936</c:v>
                </c:pt>
                <c:pt idx="25">
                  <c:v>1.253126066585994</c:v>
                </c:pt>
                <c:pt idx="26">
                  <c:v>1.2618263055012566</c:v>
                </c:pt>
                <c:pt idx="27">
                  <c:v>1.2716559620217818</c:v>
                </c:pt>
                <c:pt idx="28">
                  <c:v>1.2796611747184212</c:v>
                </c:pt>
                <c:pt idx="29">
                  <c:v>1.2888206273852743</c:v>
                </c:pt>
                <c:pt idx="30">
                  <c:v>1.2998789909708648</c:v>
                </c:pt>
                <c:pt idx="31">
                  <c:v>1.3098203481336683</c:v>
                </c:pt>
                <c:pt idx="32">
                  <c:v>1.3192032020850786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D12-4DD5-8A7A-FA7153A6117D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'SPM_Figure 7-2'!$A$5:$A$55</c:f>
              <c:numCache>
                <c:formatCode>General</c:formatCode>
                <c:ptCount val="51"/>
                <c:pt idx="0">
                  <c:v>0</c:v>
                </c:pt>
                <c:pt idx="1">
                  <c:v>4.0000000000000002E-4</c:v>
                </c:pt>
                <c:pt idx="2">
                  <c:v>8.0000000000000004E-4</c:v>
                </c:pt>
                <c:pt idx="3">
                  <c:v>1.2000000000000001E-3</c:v>
                </c:pt>
                <c:pt idx="4">
                  <c:v>1.6000000000000001E-3</c:v>
                </c:pt>
                <c:pt idx="5">
                  <c:v>2E-3</c:v>
                </c:pt>
                <c:pt idx="6">
                  <c:v>2.4000000000000002E-3</c:v>
                </c:pt>
                <c:pt idx="7">
                  <c:v>2.8000000000000004E-3</c:v>
                </c:pt>
                <c:pt idx="8">
                  <c:v>3.2000000000000006E-3</c:v>
                </c:pt>
                <c:pt idx="9">
                  <c:v>3.6000000000000008E-3</c:v>
                </c:pt>
                <c:pt idx="10">
                  <c:v>4.000000000000001E-3</c:v>
                </c:pt>
                <c:pt idx="11">
                  <c:v>4.4000000000000011E-3</c:v>
                </c:pt>
                <c:pt idx="12">
                  <c:v>4.8000000000000013E-3</c:v>
                </c:pt>
                <c:pt idx="13">
                  <c:v>5.2000000000000015E-3</c:v>
                </c:pt>
                <c:pt idx="14">
                  <c:v>5.6000000000000017E-3</c:v>
                </c:pt>
                <c:pt idx="15">
                  <c:v>6.0000000000000019E-3</c:v>
                </c:pt>
                <c:pt idx="16">
                  <c:v>6.400000000000002E-3</c:v>
                </c:pt>
                <c:pt idx="17">
                  <c:v>6.8000000000000022E-3</c:v>
                </c:pt>
                <c:pt idx="18">
                  <c:v>7.2000000000000024E-3</c:v>
                </c:pt>
                <c:pt idx="19">
                  <c:v>7.6000000000000026E-3</c:v>
                </c:pt>
                <c:pt idx="20">
                  <c:v>8.0000000000000019E-3</c:v>
                </c:pt>
                <c:pt idx="21">
                  <c:v>8.4000000000000012E-3</c:v>
                </c:pt>
                <c:pt idx="22">
                  <c:v>8.8000000000000005E-3</c:v>
                </c:pt>
                <c:pt idx="23">
                  <c:v>9.1999999999999998E-3</c:v>
                </c:pt>
                <c:pt idx="24">
                  <c:v>9.5999999999999992E-3</c:v>
                </c:pt>
                <c:pt idx="25">
                  <c:v>9.9999999999999985E-3</c:v>
                </c:pt>
                <c:pt idx="26">
                  <c:v>1.0399999999999998E-2</c:v>
                </c:pt>
                <c:pt idx="27">
                  <c:v>1.0799999999999997E-2</c:v>
                </c:pt>
                <c:pt idx="28">
                  <c:v>1.1199999999999996E-2</c:v>
                </c:pt>
                <c:pt idx="29">
                  <c:v>1.1599999999999996E-2</c:v>
                </c:pt>
                <c:pt idx="30">
                  <c:v>1.1999999999999995E-2</c:v>
                </c:pt>
                <c:pt idx="31">
                  <c:v>1.2399999999999994E-2</c:v>
                </c:pt>
                <c:pt idx="32">
                  <c:v>1.2799999999999994E-2</c:v>
                </c:pt>
                <c:pt idx="33">
                  <c:v>1.3199999999999993E-2</c:v>
                </c:pt>
                <c:pt idx="34">
                  <c:v>1.3599999999999992E-2</c:v>
                </c:pt>
                <c:pt idx="35">
                  <c:v>1.3999999999999992E-2</c:v>
                </c:pt>
                <c:pt idx="36">
                  <c:v>1.4399999999999991E-2</c:v>
                </c:pt>
                <c:pt idx="37">
                  <c:v>1.479999999999999E-2</c:v>
                </c:pt>
                <c:pt idx="38">
                  <c:v>1.519999999999999E-2</c:v>
                </c:pt>
                <c:pt idx="39">
                  <c:v>1.5599999999999989E-2</c:v>
                </c:pt>
                <c:pt idx="40">
                  <c:v>1.599999999999999E-2</c:v>
                </c:pt>
                <c:pt idx="41">
                  <c:v>1.6399999999999991E-2</c:v>
                </c:pt>
                <c:pt idx="42">
                  <c:v>1.6799999999999992E-2</c:v>
                </c:pt>
                <c:pt idx="43">
                  <c:v>1.7199999999999993E-2</c:v>
                </c:pt>
                <c:pt idx="44">
                  <c:v>1.7599999999999994E-2</c:v>
                </c:pt>
                <c:pt idx="45">
                  <c:v>1.7999999999999995E-2</c:v>
                </c:pt>
                <c:pt idx="46">
                  <c:v>1.8399999999999996E-2</c:v>
                </c:pt>
                <c:pt idx="47">
                  <c:v>1.8799999999999997E-2</c:v>
                </c:pt>
                <c:pt idx="48">
                  <c:v>1.9199999999999998E-2</c:v>
                </c:pt>
                <c:pt idx="49">
                  <c:v>1.9599999999999999E-2</c:v>
                </c:pt>
                <c:pt idx="50">
                  <c:v>0.02</c:v>
                </c:pt>
              </c:numCache>
            </c:numRef>
          </c:cat>
          <c:val>
            <c:numRef>
              <c:f>'SPM_Figure 7-2'!$I$5:$I$55</c:f>
              <c:numCache>
                <c:formatCode>0.000</c:formatCode>
                <c:ptCount val="51"/>
                <c:pt idx="0">
                  <c:v>1.1576765545488397</c:v>
                </c:pt>
                <c:pt idx="1">
                  <c:v>1.1654213727193745</c:v>
                </c:pt>
                <c:pt idx="2">
                  <c:v>1.1733151297008813</c:v>
                </c:pt>
                <c:pt idx="3">
                  <c:v>1.1794216209507262</c:v>
                </c:pt>
                <c:pt idx="4">
                  <c:v>1.1856894625791239</c:v>
                </c:pt>
                <c:pt idx="5">
                  <c:v>1.190604443341194</c:v>
                </c:pt>
                <c:pt idx="6">
                  <c:v>1.1955194241032643</c:v>
                </c:pt>
                <c:pt idx="7">
                  <c:v>1.1990318977286831</c:v>
                </c:pt>
                <c:pt idx="8">
                  <c:v>1.2030532456249226</c:v>
                </c:pt>
                <c:pt idx="9">
                  <c:v>1.205299739357081</c:v>
                </c:pt>
                <c:pt idx="10">
                  <c:v>1.207844110711183</c:v>
                </c:pt>
                <c:pt idx="11">
                  <c:v>1.2102271316867321</c:v>
                </c:pt>
                <c:pt idx="12">
                  <c:v>1.2138140747176369</c:v>
                </c:pt>
                <c:pt idx="13">
                  <c:v>1.2171031401265981</c:v>
                </c:pt>
                <c:pt idx="14">
                  <c:v>1.2217574779694675</c:v>
                </c:pt>
                <c:pt idx="15">
                  <c:v>1.2249968971081049</c:v>
                </c:pt>
                <c:pt idx="16">
                  <c:v>1.2289313640312773</c:v>
                </c:pt>
                <c:pt idx="17">
                  <c:v>1.2344917463075586</c:v>
                </c:pt>
                <c:pt idx="18">
                  <c:v>1.2397170162591535</c:v>
                </c:pt>
                <c:pt idx="19">
                  <c:v>1.2458483306441606</c:v>
                </c:pt>
                <c:pt idx="20">
                  <c:v>1.2511356584336601</c:v>
                </c:pt>
                <c:pt idx="21">
                  <c:v>1.2565719250341318</c:v>
                </c:pt>
                <c:pt idx="22">
                  <c:v>1.2630879980141494</c:v>
                </c:pt>
                <c:pt idx="23">
                  <c:v>1.2678664515328286</c:v>
                </c:pt>
                <c:pt idx="24">
                  <c:v>1.2724214968350505</c:v>
                </c:pt>
                <c:pt idx="25">
                  <c:v>1.2773861238674447</c:v>
                </c:pt>
                <c:pt idx="26">
                  <c:v>1.282946506143726</c:v>
                </c:pt>
                <c:pt idx="27">
                  <c:v>1.2888171776095323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D12-4DD5-8A7A-FA7153A6117D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'SPM_Figure 7-2'!$A$5:$A$55</c:f>
              <c:numCache>
                <c:formatCode>General</c:formatCode>
                <c:ptCount val="51"/>
                <c:pt idx="0">
                  <c:v>0</c:v>
                </c:pt>
                <c:pt idx="1">
                  <c:v>4.0000000000000002E-4</c:v>
                </c:pt>
                <c:pt idx="2">
                  <c:v>8.0000000000000004E-4</c:v>
                </c:pt>
                <c:pt idx="3">
                  <c:v>1.2000000000000001E-3</c:v>
                </c:pt>
                <c:pt idx="4">
                  <c:v>1.6000000000000001E-3</c:v>
                </c:pt>
                <c:pt idx="5">
                  <c:v>2E-3</c:v>
                </c:pt>
                <c:pt idx="6">
                  <c:v>2.4000000000000002E-3</c:v>
                </c:pt>
                <c:pt idx="7">
                  <c:v>2.8000000000000004E-3</c:v>
                </c:pt>
                <c:pt idx="8">
                  <c:v>3.2000000000000006E-3</c:v>
                </c:pt>
                <c:pt idx="9">
                  <c:v>3.6000000000000008E-3</c:v>
                </c:pt>
                <c:pt idx="10">
                  <c:v>4.000000000000001E-3</c:v>
                </c:pt>
                <c:pt idx="11">
                  <c:v>4.4000000000000011E-3</c:v>
                </c:pt>
                <c:pt idx="12">
                  <c:v>4.8000000000000013E-3</c:v>
                </c:pt>
                <c:pt idx="13">
                  <c:v>5.2000000000000015E-3</c:v>
                </c:pt>
                <c:pt idx="14">
                  <c:v>5.6000000000000017E-3</c:v>
                </c:pt>
                <c:pt idx="15">
                  <c:v>6.0000000000000019E-3</c:v>
                </c:pt>
                <c:pt idx="16">
                  <c:v>6.400000000000002E-3</c:v>
                </c:pt>
                <c:pt idx="17">
                  <c:v>6.8000000000000022E-3</c:v>
                </c:pt>
                <c:pt idx="18">
                  <c:v>7.2000000000000024E-3</c:v>
                </c:pt>
                <c:pt idx="19">
                  <c:v>7.6000000000000026E-3</c:v>
                </c:pt>
                <c:pt idx="20">
                  <c:v>8.0000000000000019E-3</c:v>
                </c:pt>
                <c:pt idx="21">
                  <c:v>8.4000000000000012E-3</c:v>
                </c:pt>
                <c:pt idx="22">
                  <c:v>8.8000000000000005E-3</c:v>
                </c:pt>
                <c:pt idx="23">
                  <c:v>9.1999999999999998E-3</c:v>
                </c:pt>
                <c:pt idx="24">
                  <c:v>9.5999999999999992E-3</c:v>
                </c:pt>
                <c:pt idx="25">
                  <c:v>9.9999999999999985E-3</c:v>
                </c:pt>
                <c:pt idx="26">
                  <c:v>1.0399999999999998E-2</c:v>
                </c:pt>
                <c:pt idx="27">
                  <c:v>1.0799999999999997E-2</c:v>
                </c:pt>
                <c:pt idx="28">
                  <c:v>1.1199999999999996E-2</c:v>
                </c:pt>
                <c:pt idx="29">
                  <c:v>1.1599999999999996E-2</c:v>
                </c:pt>
                <c:pt idx="30">
                  <c:v>1.1999999999999995E-2</c:v>
                </c:pt>
                <c:pt idx="31">
                  <c:v>1.2399999999999994E-2</c:v>
                </c:pt>
                <c:pt idx="32">
                  <c:v>1.2799999999999994E-2</c:v>
                </c:pt>
                <c:pt idx="33">
                  <c:v>1.3199999999999993E-2</c:v>
                </c:pt>
                <c:pt idx="34">
                  <c:v>1.3599999999999992E-2</c:v>
                </c:pt>
                <c:pt idx="35">
                  <c:v>1.3999999999999992E-2</c:v>
                </c:pt>
                <c:pt idx="36">
                  <c:v>1.4399999999999991E-2</c:v>
                </c:pt>
                <c:pt idx="37">
                  <c:v>1.479999999999999E-2</c:v>
                </c:pt>
                <c:pt idx="38">
                  <c:v>1.519999999999999E-2</c:v>
                </c:pt>
                <c:pt idx="39">
                  <c:v>1.5599999999999989E-2</c:v>
                </c:pt>
                <c:pt idx="40">
                  <c:v>1.599999999999999E-2</c:v>
                </c:pt>
                <c:pt idx="41">
                  <c:v>1.6399999999999991E-2</c:v>
                </c:pt>
                <c:pt idx="42">
                  <c:v>1.6799999999999992E-2</c:v>
                </c:pt>
                <c:pt idx="43">
                  <c:v>1.7199999999999993E-2</c:v>
                </c:pt>
                <c:pt idx="44">
                  <c:v>1.7599999999999994E-2</c:v>
                </c:pt>
                <c:pt idx="45">
                  <c:v>1.7999999999999995E-2</c:v>
                </c:pt>
                <c:pt idx="46">
                  <c:v>1.8399999999999996E-2</c:v>
                </c:pt>
                <c:pt idx="47">
                  <c:v>1.8799999999999997E-2</c:v>
                </c:pt>
                <c:pt idx="48">
                  <c:v>1.9199999999999998E-2</c:v>
                </c:pt>
                <c:pt idx="49">
                  <c:v>1.9599999999999999E-2</c:v>
                </c:pt>
                <c:pt idx="50">
                  <c:v>0.02</c:v>
                </c:pt>
              </c:numCache>
            </c:numRef>
          </c:cat>
          <c:val>
            <c:numRef>
              <c:f>'SPM_Figure 7-2'!$J$5:$J$55</c:f>
              <c:numCache>
                <c:formatCode>0.000</c:formatCode>
                <c:ptCount val="51"/>
                <c:pt idx="0">
                  <c:v>1.2847311427596264</c:v>
                </c:pt>
                <c:pt idx="1">
                  <c:v>1.2847311427596264</c:v>
                </c:pt>
                <c:pt idx="2">
                  <c:v>1.2847311427596264</c:v>
                </c:pt>
                <c:pt idx="3">
                  <c:v>1.2847311427596264</c:v>
                </c:pt>
                <c:pt idx="4">
                  <c:v>1.2847311427596264</c:v>
                </c:pt>
                <c:pt idx="5">
                  <c:v>1.2847311427596264</c:v>
                </c:pt>
                <c:pt idx="6">
                  <c:v>1.2847311427596264</c:v>
                </c:pt>
                <c:pt idx="7">
                  <c:v>1.2847311427596264</c:v>
                </c:pt>
                <c:pt idx="8">
                  <c:v>1.2847311427596264</c:v>
                </c:pt>
                <c:pt idx="9">
                  <c:v>1.2847311427596264</c:v>
                </c:pt>
                <c:pt idx="10">
                  <c:v>1.2847311427596264</c:v>
                </c:pt>
                <c:pt idx="11">
                  <c:v>1.2847311427596264</c:v>
                </c:pt>
                <c:pt idx="12">
                  <c:v>1.2847311427596264</c:v>
                </c:pt>
                <c:pt idx="13">
                  <c:v>1.2847311427596264</c:v>
                </c:pt>
                <c:pt idx="14">
                  <c:v>1.2847311427596264</c:v>
                </c:pt>
                <c:pt idx="15">
                  <c:v>1.2847311427596264</c:v>
                </c:pt>
                <c:pt idx="16">
                  <c:v>1.2847311427596264</c:v>
                </c:pt>
                <c:pt idx="17">
                  <c:v>1.2847311427596264</c:v>
                </c:pt>
                <c:pt idx="18">
                  <c:v>1.2847311427596264</c:v>
                </c:pt>
                <c:pt idx="19">
                  <c:v>1.2847311427596264</c:v>
                </c:pt>
                <c:pt idx="20">
                  <c:v>1.2847311427596264</c:v>
                </c:pt>
                <c:pt idx="21">
                  <c:v>1.2847311427596264</c:v>
                </c:pt>
                <c:pt idx="22">
                  <c:v>1.2847311427596264</c:v>
                </c:pt>
                <c:pt idx="23">
                  <c:v>1.2847311427596264</c:v>
                </c:pt>
                <c:pt idx="24">
                  <c:v>1.2847311427596264</c:v>
                </c:pt>
                <c:pt idx="25">
                  <c:v>1.2847311427596264</c:v>
                </c:pt>
                <c:pt idx="26">
                  <c:v>1.2862701293865773</c:v>
                </c:pt>
                <c:pt idx="27">
                  <c:v>1.291371125383971</c:v>
                </c:pt>
                <c:pt idx="28">
                  <c:v>1.2984579105774303</c:v>
                </c:pt>
                <c:pt idx="29">
                  <c:v>1.3035216730273977</c:v>
                </c:pt>
                <c:pt idx="30">
                  <c:v>1.3076670079741848</c:v>
                </c:pt>
                <c:pt idx="31">
                  <c:v>1.3141456452263489</c:v>
                </c:pt>
                <c:pt idx="32">
                  <c:v>1.3254646436439232</c:v>
                </c:pt>
                <c:pt idx="33">
                  <c:v>1.3350460765149399</c:v>
                </c:pt>
                <c:pt idx="34">
                  <c:v>1.3466381209469731</c:v>
                </c:pt>
                <c:pt idx="35">
                  <c:v>1.3579819417294983</c:v>
                </c:pt>
                <c:pt idx="36">
                  <c:v>1.3708399267740234</c:v>
                </c:pt>
                <c:pt idx="37">
                  <c:v>1.3839213131031058</c:v>
                </c:pt>
                <c:pt idx="38">
                  <c:v>1.3981072946724999</c:v>
                </c:pt>
                <c:pt idx="39">
                  <c:v>1.4127773123584348</c:v>
                </c:pt>
                <c:pt idx="40">
                  <c:v>1.4292221291383536</c:v>
                </c:pt>
                <c:pt idx="41">
                  <c:v>1.4511775109373546</c:v>
                </c:pt>
                <c:pt idx="42">
                  <c:v>1.4713456824598963</c:v>
                </c:pt>
                <c:pt idx="43">
                  <c:v>1.4921964690185856</c:v>
                </c:pt>
                <c:pt idx="44">
                  <c:v>1.5149709888609637</c:v>
                </c:pt>
                <c:pt idx="45">
                  <c:v>1.5407986595922927</c:v>
                </c:pt>
                <c:pt idx="46">
                  <c:v>1.5676936920165068</c:v>
                </c:pt>
                <c:pt idx="47">
                  <c:v>1.592404356325049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7D12-4DD5-8A7A-FA7153A61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458895"/>
        <c:axId val="1295456815"/>
      </c:lineChart>
      <c:catAx>
        <c:axId val="1295458895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5456815"/>
        <c:crosses val="autoZero"/>
        <c:auto val="1"/>
        <c:lblAlgn val="ctr"/>
        <c:lblOffset val="100"/>
        <c:noMultiLvlLbl val="0"/>
      </c:catAx>
      <c:valAx>
        <c:axId val="129545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5458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'SPM_Figure 7-3'!$A$4:$A$123</c:f>
              <c:numCache>
                <c:formatCode>General</c:formatCode>
                <c:ptCount val="120"/>
                <c:pt idx="0">
                  <c:v>3.1E-4</c:v>
                </c:pt>
                <c:pt idx="1">
                  <c:v>3.2000000000000003E-4</c:v>
                </c:pt>
                <c:pt idx="2">
                  <c:v>3.3000000000000005E-4</c:v>
                </c:pt>
                <c:pt idx="3">
                  <c:v>3.4000000000000008E-4</c:v>
                </c:pt>
                <c:pt idx="4">
                  <c:v>3.500000000000001E-4</c:v>
                </c:pt>
                <c:pt idx="5">
                  <c:v>3.6000000000000013E-4</c:v>
                </c:pt>
                <c:pt idx="6">
                  <c:v>3.7000000000000016E-4</c:v>
                </c:pt>
                <c:pt idx="7">
                  <c:v>3.8000000000000018E-4</c:v>
                </c:pt>
                <c:pt idx="8">
                  <c:v>3.9000000000000021E-4</c:v>
                </c:pt>
                <c:pt idx="9">
                  <c:v>4.0000000000000024E-4</c:v>
                </c:pt>
                <c:pt idx="10">
                  <c:v>4.2000000000000023E-4</c:v>
                </c:pt>
                <c:pt idx="11">
                  <c:v>4.4000000000000023E-4</c:v>
                </c:pt>
                <c:pt idx="12">
                  <c:v>4.6000000000000023E-4</c:v>
                </c:pt>
                <c:pt idx="13">
                  <c:v>4.8000000000000023E-4</c:v>
                </c:pt>
                <c:pt idx="14">
                  <c:v>5.0000000000000023E-4</c:v>
                </c:pt>
                <c:pt idx="15">
                  <c:v>5.2000000000000028E-4</c:v>
                </c:pt>
                <c:pt idx="16">
                  <c:v>5.4000000000000033E-4</c:v>
                </c:pt>
                <c:pt idx="17">
                  <c:v>5.6000000000000038E-4</c:v>
                </c:pt>
                <c:pt idx="18">
                  <c:v>5.8000000000000044E-4</c:v>
                </c:pt>
                <c:pt idx="19">
                  <c:v>6.0000000000000049E-4</c:v>
                </c:pt>
                <c:pt idx="20">
                  <c:v>6.2000000000000054E-4</c:v>
                </c:pt>
                <c:pt idx="21">
                  <c:v>6.4000000000000059E-4</c:v>
                </c:pt>
                <c:pt idx="22">
                  <c:v>6.6000000000000065E-4</c:v>
                </c:pt>
                <c:pt idx="23">
                  <c:v>6.800000000000007E-4</c:v>
                </c:pt>
                <c:pt idx="24">
                  <c:v>7.0000000000000075E-4</c:v>
                </c:pt>
                <c:pt idx="25">
                  <c:v>7.200000000000008E-4</c:v>
                </c:pt>
                <c:pt idx="26">
                  <c:v>7.4000000000000086E-4</c:v>
                </c:pt>
                <c:pt idx="27">
                  <c:v>7.6000000000000091E-4</c:v>
                </c:pt>
                <c:pt idx="28">
                  <c:v>7.8000000000000096E-4</c:v>
                </c:pt>
                <c:pt idx="29">
                  <c:v>8.0000000000000101E-4</c:v>
                </c:pt>
                <c:pt idx="30">
                  <c:v>8.2000000000000107E-4</c:v>
                </c:pt>
                <c:pt idx="31">
                  <c:v>8.4000000000000112E-4</c:v>
                </c:pt>
                <c:pt idx="32">
                  <c:v>8.6000000000000117E-4</c:v>
                </c:pt>
                <c:pt idx="33">
                  <c:v>8.8000000000000122E-4</c:v>
                </c:pt>
                <c:pt idx="34">
                  <c:v>9.0000000000000128E-4</c:v>
                </c:pt>
                <c:pt idx="35">
                  <c:v>9.2000000000000133E-4</c:v>
                </c:pt>
                <c:pt idx="36">
                  <c:v>9.4000000000000138E-4</c:v>
                </c:pt>
                <c:pt idx="37">
                  <c:v>9.6000000000000143E-4</c:v>
                </c:pt>
                <c:pt idx="38">
                  <c:v>9.8000000000000149E-4</c:v>
                </c:pt>
                <c:pt idx="39">
                  <c:v>1.0000000000000015E-3</c:v>
                </c:pt>
                <c:pt idx="40">
                  <c:v>1.1000000000000016E-3</c:v>
                </c:pt>
                <c:pt idx="41">
                  <c:v>1.2000000000000016E-3</c:v>
                </c:pt>
                <c:pt idx="42">
                  <c:v>1.3000000000000017E-3</c:v>
                </c:pt>
                <c:pt idx="43">
                  <c:v>1.4000000000000017E-3</c:v>
                </c:pt>
                <c:pt idx="44">
                  <c:v>1.5000000000000018E-3</c:v>
                </c:pt>
                <c:pt idx="45">
                  <c:v>1.6000000000000018E-3</c:v>
                </c:pt>
                <c:pt idx="46">
                  <c:v>1.7000000000000019E-3</c:v>
                </c:pt>
                <c:pt idx="47">
                  <c:v>1.8000000000000019E-3</c:v>
                </c:pt>
                <c:pt idx="48">
                  <c:v>1.9000000000000019E-3</c:v>
                </c:pt>
                <c:pt idx="49">
                  <c:v>2.0000000000000018E-3</c:v>
                </c:pt>
                <c:pt idx="50">
                  <c:v>2.1000000000000016E-3</c:v>
                </c:pt>
                <c:pt idx="51">
                  <c:v>2.2000000000000014E-3</c:v>
                </c:pt>
                <c:pt idx="52">
                  <c:v>2.3000000000000013E-3</c:v>
                </c:pt>
                <c:pt idx="53">
                  <c:v>2.4000000000000011E-3</c:v>
                </c:pt>
                <c:pt idx="54">
                  <c:v>2.5000000000000009E-3</c:v>
                </c:pt>
                <c:pt idx="55">
                  <c:v>2.6000000000000007E-3</c:v>
                </c:pt>
                <c:pt idx="56">
                  <c:v>2.7000000000000006E-3</c:v>
                </c:pt>
                <c:pt idx="57">
                  <c:v>2.8000000000000004E-3</c:v>
                </c:pt>
                <c:pt idx="58">
                  <c:v>2.9000000000000002E-3</c:v>
                </c:pt>
                <c:pt idx="59">
                  <c:v>3.0000000000000001E-3</c:v>
                </c:pt>
                <c:pt idx="60">
                  <c:v>3.0999999999999999E-3</c:v>
                </c:pt>
                <c:pt idx="61">
                  <c:v>3.1999999999999997E-3</c:v>
                </c:pt>
                <c:pt idx="62">
                  <c:v>3.2999999999999995E-3</c:v>
                </c:pt>
                <c:pt idx="63">
                  <c:v>3.3999999999999994E-3</c:v>
                </c:pt>
                <c:pt idx="64">
                  <c:v>3.4999999999999992E-3</c:v>
                </c:pt>
                <c:pt idx="65">
                  <c:v>3.599999999999999E-3</c:v>
                </c:pt>
                <c:pt idx="66">
                  <c:v>3.6999999999999989E-3</c:v>
                </c:pt>
                <c:pt idx="67">
                  <c:v>3.7999999999999987E-3</c:v>
                </c:pt>
                <c:pt idx="68">
                  <c:v>3.8999999999999985E-3</c:v>
                </c:pt>
                <c:pt idx="69">
                  <c:v>3.9999999999999983E-3</c:v>
                </c:pt>
                <c:pt idx="70">
                  <c:v>4.199999999999998E-3</c:v>
                </c:pt>
                <c:pt idx="71">
                  <c:v>4.3999999999999977E-3</c:v>
                </c:pt>
                <c:pt idx="72">
                  <c:v>4.5999999999999973E-3</c:v>
                </c:pt>
                <c:pt idx="73">
                  <c:v>4.799999999999997E-3</c:v>
                </c:pt>
                <c:pt idx="74">
                  <c:v>4.9999999999999966E-3</c:v>
                </c:pt>
                <c:pt idx="75">
                  <c:v>5.1999999999999963E-3</c:v>
                </c:pt>
                <c:pt idx="76">
                  <c:v>5.3999999999999959E-3</c:v>
                </c:pt>
                <c:pt idx="77">
                  <c:v>5.5999999999999956E-3</c:v>
                </c:pt>
                <c:pt idx="78">
                  <c:v>5.7999999999999953E-3</c:v>
                </c:pt>
                <c:pt idx="79">
                  <c:v>5.9999999999999949E-3</c:v>
                </c:pt>
                <c:pt idx="80">
                  <c:v>6.1999999999999946E-3</c:v>
                </c:pt>
                <c:pt idx="81">
                  <c:v>6.3999999999999942E-3</c:v>
                </c:pt>
                <c:pt idx="82">
                  <c:v>6.5999999999999939E-3</c:v>
                </c:pt>
                <c:pt idx="83">
                  <c:v>6.7999999999999935E-3</c:v>
                </c:pt>
                <c:pt idx="84">
                  <c:v>6.9999999999999932E-3</c:v>
                </c:pt>
                <c:pt idx="85">
                  <c:v>7.1999999999999929E-3</c:v>
                </c:pt>
                <c:pt idx="86">
                  <c:v>7.3999999999999925E-3</c:v>
                </c:pt>
                <c:pt idx="87">
                  <c:v>7.5999999999999922E-3</c:v>
                </c:pt>
                <c:pt idx="88">
                  <c:v>7.7999999999999918E-3</c:v>
                </c:pt>
                <c:pt idx="89">
                  <c:v>7.9999999999999915E-3</c:v>
                </c:pt>
                <c:pt idx="90">
                  <c:v>8.199999999999992E-3</c:v>
                </c:pt>
                <c:pt idx="91">
                  <c:v>8.3999999999999925E-3</c:v>
                </c:pt>
                <c:pt idx="92">
                  <c:v>8.5999999999999931E-3</c:v>
                </c:pt>
                <c:pt idx="93">
                  <c:v>8.7999999999999936E-3</c:v>
                </c:pt>
                <c:pt idx="94">
                  <c:v>8.9999999999999941E-3</c:v>
                </c:pt>
                <c:pt idx="95">
                  <c:v>9.1999999999999946E-3</c:v>
                </c:pt>
                <c:pt idx="96">
                  <c:v>9.3999999999999952E-3</c:v>
                </c:pt>
                <c:pt idx="97">
                  <c:v>9.5999999999999957E-3</c:v>
                </c:pt>
                <c:pt idx="98">
                  <c:v>9.7999999999999962E-3</c:v>
                </c:pt>
                <c:pt idx="99">
                  <c:v>9.9999999999999967E-3</c:v>
                </c:pt>
                <c:pt idx="100">
                  <c:v>1.0999999999999996E-2</c:v>
                </c:pt>
                <c:pt idx="101">
                  <c:v>1.1999999999999997E-2</c:v>
                </c:pt>
                <c:pt idx="102">
                  <c:v>1.2999999999999998E-2</c:v>
                </c:pt>
                <c:pt idx="103">
                  <c:v>1.3999999999999999E-2</c:v>
                </c:pt>
                <c:pt idx="104">
                  <c:v>1.4999999999999999E-2</c:v>
                </c:pt>
                <c:pt idx="105">
                  <c:v>1.6E-2</c:v>
                </c:pt>
                <c:pt idx="106">
                  <c:v>1.7000000000000001E-2</c:v>
                </c:pt>
                <c:pt idx="107">
                  <c:v>1.8000000000000002E-2</c:v>
                </c:pt>
                <c:pt idx="108">
                  <c:v>1.9000000000000003E-2</c:v>
                </c:pt>
                <c:pt idx="109">
                  <c:v>2.0000000000000004E-2</c:v>
                </c:pt>
                <c:pt idx="110">
                  <c:v>2.1000000000000005E-2</c:v>
                </c:pt>
                <c:pt idx="111">
                  <c:v>2.2000000000000006E-2</c:v>
                </c:pt>
                <c:pt idx="112">
                  <c:v>2.3000000000000007E-2</c:v>
                </c:pt>
                <c:pt idx="113">
                  <c:v>2.4000000000000007E-2</c:v>
                </c:pt>
                <c:pt idx="114">
                  <c:v>2.5000000000000008E-2</c:v>
                </c:pt>
                <c:pt idx="115">
                  <c:v>2.6000000000000009E-2</c:v>
                </c:pt>
                <c:pt idx="116">
                  <c:v>2.700000000000001E-2</c:v>
                </c:pt>
                <c:pt idx="117">
                  <c:v>2.8000000000000011E-2</c:v>
                </c:pt>
                <c:pt idx="118">
                  <c:v>2.9000000000000012E-2</c:v>
                </c:pt>
                <c:pt idx="119">
                  <c:v>3.0000000000000013E-2</c:v>
                </c:pt>
              </c:numCache>
            </c:numRef>
          </c:xVal>
          <c:yVal>
            <c:numRef>
              <c:f>'SPM_Figure 7-3'!$E$4:$E$123</c:f>
              <c:numCache>
                <c:formatCode>0.0000</c:formatCode>
                <c:ptCount val="120"/>
                <c:pt idx="0">
                  <c:v>2.7254100000000001</c:v>
                </c:pt>
                <c:pt idx="1">
                  <c:v>2.7030699999999999</c:v>
                </c:pt>
                <c:pt idx="2">
                  <c:v>2.67753</c:v>
                </c:pt>
                <c:pt idx="3">
                  <c:v>2.6556700000000002</c:v>
                </c:pt>
                <c:pt idx="4">
                  <c:v>2.6326400000000003</c:v>
                </c:pt>
                <c:pt idx="5">
                  <c:v>2.6121500000000002</c:v>
                </c:pt>
                <c:pt idx="6">
                  <c:v>2.59253</c:v>
                </c:pt>
                <c:pt idx="7">
                  <c:v>2.5739299999999998</c:v>
                </c:pt>
                <c:pt idx="8">
                  <c:v>2.5550600000000001</c:v>
                </c:pt>
                <c:pt idx="9">
                  <c:v>2.5367000000000002</c:v>
                </c:pt>
                <c:pt idx="10">
                  <c:v>2.5031599999999998</c:v>
                </c:pt>
                <c:pt idx="11">
                  <c:v>2.4720500000000003</c:v>
                </c:pt>
                <c:pt idx="12">
                  <c:v>2.4431500000000002</c:v>
                </c:pt>
                <c:pt idx="13">
                  <c:v>2.41351</c:v>
                </c:pt>
                <c:pt idx="14">
                  <c:v>2.3862800000000002</c:v>
                </c:pt>
                <c:pt idx="15">
                  <c:v>2.3613</c:v>
                </c:pt>
                <c:pt idx="16">
                  <c:v>2.3362600000000002</c:v>
                </c:pt>
                <c:pt idx="17">
                  <c:v>2.31473</c:v>
                </c:pt>
                <c:pt idx="18">
                  <c:v>2.29047</c:v>
                </c:pt>
                <c:pt idx="19">
                  <c:v>2.2691299999999996</c:v>
                </c:pt>
                <c:pt idx="20">
                  <c:v>2.2484200000000003</c:v>
                </c:pt>
                <c:pt idx="21">
                  <c:v>2.2273199999999997</c:v>
                </c:pt>
                <c:pt idx="22">
                  <c:v>2.2075100000000001</c:v>
                </c:pt>
                <c:pt idx="23">
                  <c:v>2.18852</c:v>
                </c:pt>
                <c:pt idx="24">
                  <c:v>2.1700200000000001</c:v>
                </c:pt>
                <c:pt idx="25">
                  <c:v>2.1525400000000001</c:v>
                </c:pt>
                <c:pt idx="26">
                  <c:v>2.1351</c:v>
                </c:pt>
                <c:pt idx="27">
                  <c:v>2.1174800000000005</c:v>
                </c:pt>
                <c:pt idx="28">
                  <c:v>2.1023399999999999</c:v>
                </c:pt>
                <c:pt idx="29">
                  <c:v>2.0881100000000004</c:v>
                </c:pt>
                <c:pt idx="30">
                  <c:v>2.07348</c:v>
                </c:pt>
                <c:pt idx="31">
                  <c:v>2.0589900000000001</c:v>
                </c:pt>
                <c:pt idx="32">
                  <c:v>2.04555</c:v>
                </c:pt>
                <c:pt idx="33">
                  <c:v>2.0329899999999999</c:v>
                </c:pt>
                <c:pt idx="34">
                  <c:v>2.0201099999999999</c:v>
                </c:pt>
                <c:pt idx="35">
                  <c:v>2.0066899999999999</c:v>
                </c:pt>
                <c:pt idx="36">
                  <c:v>1.99491</c:v>
                </c:pt>
                <c:pt idx="37">
                  <c:v>1.98332</c:v>
                </c:pt>
                <c:pt idx="38">
                  <c:v>1.9731400000000001</c:v>
                </c:pt>
                <c:pt idx="39">
                  <c:v>1.9624100000000002</c:v>
                </c:pt>
                <c:pt idx="40">
                  <c:v>1.9071500000000001</c:v>
                </c:pt>
                <c:pt idx="41">
                  <c:v>1.8622100000000001</c:v>
                </c:pt>
                <c:pt idx="42">
                  <c:v>1.8178100000000001</c:v>
                </c:pt>
                <c:pt idx="43">
                  <c:v>1.78203</c:v>
                </c:pt>
                <c:pt idx="44">
                  <c:v>1.7484299999999999</c:v>
                </c:pt>
                <c:pt idx="45">
                  <c:v>1.7154700000000001</c:v>
                </c:pt>
                <c:pt idx="46">
                  <c:v>1.68831</c:v>
                </c:pt>
                <c:pt idx="47">
                  <c:v>1.6632199999999999</c:v>
                </c:pt>
                <c:pt idx="48">
                  <c:v>1.6402600000000001</c:v>
                </c:pt>
                <c:pt idx="49">
                  <c:v>1.6177599999999999</c:v>
                </c:pt>
                <c:pt idx="50">
                  <c:v>1.5967399999999998</c:v>
                </c:pt>
                <c:pt idx="51">
                  <c:v>1.5781000000000001</c:v>
                </c:pt>
                <c:pt idx="52">
                  <c:v>1.55992</c:v>
                </c:pt>
                <c:pt idx="53">
                  <c:v>1.54399</c:v>
                </c:pt>
                <c:pt idx="54">
                  <c:v>1.5297800000000001</c:v>
                </c:pt>
                <c:pt idx="55">
                  <c:v>1.5150999999999999</c:v>
                </c:pt>
                <c:pt idx="56">
                  <c:v>1.5001500000000001</c:v>
                </c:pt>
                <c:pt idx="57">
                  <c:v>1.4847300000000001</c:v>
                </c:pt>
                <c:pt idx="58">
                  <c:v>1.4729100000000002</c:v>
                </c:pt>
                <c:pt idx="59">
                  <c:v>1.4624999999999999</c:v>
                </c:pt>
                <c:pt idx="60">
                  <c:v>1.4515400000000001</c:v>
                </c:pt>
                <c:pt idx="61">
                  <c:v>1.4414799999999999</c:v>
                </c:pt>
                <c:pt idx="62">
                  <c:v>1.42964</c:v>
                </c:pt>
                <c:pt idx="63">
                  <c:v>1.41916</c:v>
                </c:pt>
                <c:pt idx="64">
                  <c:v>1.41018</c:v>
                </c:pt>
                <c:pt idx="65">
                  <c:v>1.4005699999999999</c:v>
                </c:pt>
                <c:pt idx="66">
                  <c:v>1.3909800000000001</c:v>
                </c:pt>
                <c:pt idx="67">
                  <c:v>1.3829099999999999</c:v>
                </c:pt>
                <c:pt idx="68">
                  <c:v>1.3743700000000001</c:v>
                </c:pt>
                <c:pt idx="69">
                  <c:v>1.3671799999999998</c:v>
                </c:pt>
                <c:pt idx="70">
                  <c:v>1.35066</c:v>
                </c:pt>
                <c:pt idx="71">
                  <c:v>1.33761</c:v>
                </c:pt>
                <c:pt idx="72">
                  <c:v>1.3242499999999999</c:v>
                </c:pt>
                <c:pt idx="73">
                  <c:v>1.3100899999999998</c:v>
                </c:pt>
                <c:pt idx="74">
                  <c:v>1.29735</c:v>
                </c:pt>
                <c:pt idx="75">
                  <c:v>1.2852999999999999</c:v>
                </c:pt>
                <c:pt idx="76">
                  <c:v>1.2740499999999999</c:v>
                </c:pt>
                <c:pt idx="77">
                  <c:v>1.2646299999999999</c:v>
                </c:pt>
                <c:pt idx="78">
                  <c:v>1.25326</c:v>
                </c:pt>
                <c:pt idx="79">
                  <c:v>1.2432300000000001</c:v>
                </c:pt>
                <c:pt idx="80">
                  <c:v>1.2330100000000002</c:v>
                </c:pt>
                <c:pt idx="81">
                  <c:v>1.22285</c:v>
                </c:pt>
                <c:pt idx="82">
                  <c:v>1.21366</c:v>
                </c:pt>
                <c:pt idx="83">
                  <c:v>1.2051799999999999</c:v>
                </c:pt>
                <c:pt idx="84">
                  <c:v>1.1965300000000001</c:v>
                </c:pt>
                <c:pt idx="85">
                  <c:v>1.1892800000000001</c:v>
                </c:pt>
                <c:pt idx="86">
                  <c:v>1.1817600000000001</c:v>
                </c:pt>
                <c:pt idx="87">
                  <c:v>1.1752899999999999</c:v>
                </c:pt>
                <c:pt idx="88">
                  <c:v>1.1685699999999999</c:v>
                </c:pt>
                <c:pt idx="89">
                  <c:v>1.1634899999999999</c:v>
                </c:pt>
                <c:pt idx="90">
                  <c:v>1.15601</c:v>
                </c:pt>
                <c:pt idx="91">
                  <c:v>1.15055</c:v>
                </c:pt>
                <c:pt idx="92">
                  <c:v>1.1443699999999999</c:v>
                </c:pt>
                <c:pt idx="93">
                  <c:v>1.1391</c:v>
                </c:pt>
                <c:pt idx="94">
                  <c:v>1.13388</c:v>
                </c:pt>
                <c:pt idx="95">
                  <c:v>1.1280899999999998</c:v>
                </c:pt>
                <c:pt idx="96">
                  <c:v>1.1237599999999999</c:v>
                </c:pt>
                <c:pt idx="97">
                  <c:v>1.1194999999999999</c:v>
                </c:pt>
                <c:pt idx="98">
                  <c:v>1.1144799999999999</c:v>
                </c:pt>
                <c:pt idx="99">
                  <c:v>1.1094999999999999</c:v>
                </c:pt>
                <c:pt idx="100">
                  <c:v>1.0889199999999999</c:v>
                </c:pt>
                <c:pt idx="101">
                  <c:v>1.07239</c:v>
                </c:pt>
                <c:pt idx="102">
                  <c:v>1.05714</c:v>
                </c:pt>
                <c:pt idx="103">
                  <c:v>1.04487</c:v>
                </c:pt>
                <c:pt idx="104">
                  <c:v>1.0341999999999998</c:v>
                </c:pt>
                <c:pt idx="105">
                  <c:v>1.0250900000000001</c:v>
                </c:pt>
                <c:pt idx="106">
                  <c:v>1.01719</c:v>
                </c:pt>
                <c:pt idx="107">
                  <c:v>1.0100899999999999</c:v>
                </c:pt>
                <c:pt idx="108">
                  <c:v>1.00475</c:v>
                </c:pt>
                <c:pt idx="109">
                  <c:v>1.0010400000000002</c:v>
                </c:pt>
                <c:pt idx="110">
                  <c:v>0.99870000000000003</c:v>
                </c:pt>
                <c:pt idx="111">
                  <c:v>0.99656000000000011</c:v>
                </c:pt>
                <c:pt idx="112">
                  <c:v>0.99485000000000001</c:v>
                </c:pt>
                <c:pt idx="113">
                  <c:v>0.99370000000000003</c:v>
                </c:pt>
                <c:pt idx="114">
                  <c:v>0.99309000000000003</c:v>
                </c:pt>
                <c:pt idx="115">
                  <c:v>0.99282999999999999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B3-41B5-96AB-E44042FDD5C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'SPM_Figure 7-3'!$A$4:$A$123</c:f>
              <c:numCache>
                <c:formatCode>General</c:formatCode>
                <c:ptCount val="120"/>
                <c:pt idx="0">
                  <c:v>3.1E-4</c:v>
                </c:pt>
                <c:pt idx="1">
                  <c:v>3.2000000000000003E-4</c:v>
                </c:pt>
                <c:pt idx="2">
                  <c:v>3.3000000000000005E-4</c:v>
                </c:pt>
                <c:pt idx="3">
                  <c:v>3.4000000000000008E-4</c:v>
                </c:pt>
                <c:pt idx="4">
                  <c:v>3.500000000000001E-4</c:v>
                </c:pt>
                <c:pt idx="5">
                  <c:v>3.6000000000000013E-4</c:v>
                </c:pt>
                <c:pt idx="6">
                  <c:v>3.7000000000000016E-4</c:v>
                </c:pt>
                <c:pt idx="7">
                  <c:v>3.8000000000000018E-4</c:v>
                </c:pt>
                <c:pt idx="8">
                  <c:v>3.9000000000000021E-4</c:v>
                </c:pt>
                <c:pt idx="9">
                  <c:v>4.0000000000000024E-4</c:v>
                </c:pt>
                <c:pt idx="10">
                  <c:v>4.2000000000000023E-4</c:v>
                </c:pt>
                <c:pt idx="11">
                  <c:v>4.4000000000000023E-4</c:v>
                </c:pt>
                <c:pt idx="12">
                  <c:v>4.6000000000000023E-4</c:v>
                </c:pt>
                <c:pt idx="13">
                  <c:v>4.8000000000000023E-4</c:v>
                </c:pt>
                <c:pt idx="14">
                  <c:v>5.0000000000000023E-4</c:v>
                </c:pt>
                <c:pt idx="15">
                  <c:v>5.2000000000000028E-4</c:v>
                </c:pt>
                <c:pt idx="16">
                  <c:v>5.4000000000000033E-4</c:v>
                </c:pt>
                <c:pt idx="17">
                  <c:v>5.6000000000000038E-4</c:v>
                </c:pt>
                <c:pt idx="18">
                  <c:v>5.8000000000000044E-4</c:v>
                </c:pt>
                <c:pt idx="19">
                  <c:v>6.0000000000000049E-4</c:v>
                </c:pt>
                <c:pt idx="20">
                  <c:v>6.2000000000000054E-4</c:v>
                </c:pt>
                <c:pt idx="21">
                  <c:v>6.4000000000000059E-4</c:v>
                </c:pt>
                <c:pt idx="22">
                  <c:v>6.6000000000000065E-4</c:v>
                </c:pt>
                <c:pt idx="23">
                  <c:v>6.800000000000007E-4</c:v>
                </c:pt>
                <c:pt idx="24">
                  <c:v>7.0000000000000075E-4</c:v>
                </c:pt>
                <c:pt idx="25">
                  <c:v>7.200000000000008E-4</c:v>
                </c:pt>
                <c:pt idx="26">
                  <c:v>7.4000000000000086E-4</c:v>
                </c:pt>
                <c:pt idx="27">
                  <c:v>7.6000000000000091E-4</c:v>
                </c:pt>
                <c:pt idx="28">
                  <c:v>7.8000000000000096E-4</c:v>
                </c:pt>
                <c:pt idx="29">
                  <c:v>8.0000000000000101E-4</c:v>
                </c:pt>
                <c:pt idx="30">
                  <c:v>8.2000000000000107E-4</c:v>
                </c:pt>
                <c:pt idx="31">
                  <c:v>8.4000000000000112E-4</c:v>
                </c:pt>
                <c:pt idx="32">
                  <c:v>8.6000000000000117E-4</c:v>
                </c:pt>
                <c:pt idx="33">
                  <c:v>8.8000000000000122E-4</c:v>
                </c:pt>
                <c:pt idx="34">
                  <c:v>9.0000000000000128E-4</c:v>
                </c:pt>
                <c:pt idx="35">
                  <c:v>9.2000000000000133E-4</c:v>
                </c:pt>
                <c:pt idx="36">
                  <c:v>9.4000000000000138E-4</c:v>
                </c:pt>
                <c:pt idx="37">
                  <c:v>9.6000000000000143E-4</c:v>
                </c:pt>
                <c:pt idx="38">
                  <c:v>9.8000000000000149E-4</c:v>
                </c:pt>
                <c:pt idx="39">
                  <c:v>1.0000000000000015E-3</c:v>
                </c:pt>
                <c:pt idx="40">
                  <c:v>1.1000000000000016E-3</c:v>
                </c:pt>
                <c:pt idx="41">
                  <c:v>1.2000000000000016E-3</c:v>
                </c:pt>
                <c:pt idx="42">
                  <c:v>1.3000000000000017E-3</c:v>
                </c:pt>
                <c:pt idx="43">
                  <c:v>1.4000000000000017E-3</c:v>
                </c:pt>
                <c:pt idx="44">
                  <c:v>1.5000000000000018E-3</c:v>
                </c:pt>
                <c:pt idx="45">
                  <c:v>1.6000000000000018E-3</c:v>
                </c:pt>
                <c:pt idx="46">
                  <c:v>1.7000000000000019E-3</c:v>
                </c:pt>
                <c:pt idx="47">
                  <c:v>1.8000000000000019E-3</c:v>
                </c:pt>
                <c:pt idx="48">
                  <c:v>1.9000000000000019E-3</c:v>
                </c:pt>
                <c:pt idx="49">
                  <c:v>2.0000000000000018E-3</c:v>
                </c:pt>
                <c:pt idx="50">
                  <c:v>2.1000000000000016E-3</c:v>
                </c:pt>
                <c:pt idx="51">
                  <c:v>2.2000000000000014E-3</c:v>
                </c:pt>
                <c:pt idx="52">
                  <c:v>2.3000000000000013E-3</c:v>
                </c:pt>
                <c:pt idx="53">
                  <c:v>2.4000000000000011E-3</c:v>
                </c:pt>
                <c:pt idx="54">
                  <c:v>2.5000000000000009E-3</c:v>
                </c:pt>
                <c:pt idx="55">
                  <c:v>2.6000000000000007E-3</c:v>
                </c:pt>
                <c:pt idx="56">
                  <c:v>2.7000000000000006E-3</c:v>
                </c:pt>
                <c:pt idx="57">
                  <c:v>2.8000000000000004E-3</c:v>
                </c:pt>
                <c:pt idx="58">
                  <c:v>2.9000000000000002E-3</c:v>
                </c:pt>
                <c:pt idx="59">
                  <c:v>3.0000000000000001E-3</c:v>
                </c:pt>
                <c:pt idx="60">
                  <c:v>3.0999999999999999E-3</c:v>
                </c:pt>
                <c:pt idx="61">
                  <c:v>3.1999999999999997E-3</c:v>
                </c:pt>
                <c:pt idx="62">
                  <c:v>3.2999999999999995E-3</c:v>
                </c:pt>
                <c:pt idx="63">
                  <c:v>3.3999999999999994E-3</c:v>
                </c:pt>
                <c:pt idx="64">
                  <c:v>3.4999999999999992E-3</c:v>
                </c:pt>
                <c:pt idx="65">
                  <c:v>3.599999999999999E-3</c:v>
                </c:pt>
                <c:pt idx="66">
                  <c:v>3.6999999999999989E-3</c:v>
                </c:pt>
                <c:pt idx="67">
                  <c:v>3.7999999999999987E-3</c:v>
                </c:pt>
                <c:pt idx="68">
                  <c:v>3.8999999999999985E-3</c:v>
                </c:pt>
                <c:pt idx="69">
                  <c:v>3.9999999999999983E-3</c:v>
                </c:pt>
                <c:pt idx="70">
                  <c:v>4.199999999999998E-3</c:v>
                </c:pt>
                <c:pt idx="71">
                  <c:v>4.3999999999999977E-3</c:v>
                </c:pt>
                <c:pt idx="72">
                  <c:v>4.5999999999999973E-3</c:v>
                </c:pt>
                <c:pt idx="73">
                  <c:v>4.799999999999997E-3</c:v>
                </c:pt>
                <c:pt idx="74">
                  <c:v>4.9999999999999966E-3</c:v>
                </c:pt>
                <c:pt idx="75">
                  <c:v>5.1999999999999963E-3</c:v>
                </c:pt>
                <c:pt idx="76">
                  <c:v>5.3999999999999959E-3</c:v>
                </c:pt>
                <c:pt idx="77">
                  <c:v>5.5999999999999956E-3</c:v>
                </c:pt>
                <c:pt idx="78">
                  <c:v>5.7999999999999953E-3</c:v>
                </c:pt>
                <c:pt idx="79">
                  <c:v>5.9999999999999949E-3</c:v>
                </c:pt>
                <c:pt idx="80">
                  <c:v>6.1999999999999946E-3</c:v>
                </c:pt>
                <c:pt idx="81">
                  <c:v>6.3999999999999942E-3</c:v>
                </c:pt>
                <c:pt idx="82">
                  <c:v>6.5999999999999939E-3</c:v>
                </c:pt>
                <c:pt idx="83">
                  <c:v>6.7999999999999935E-3</c:v>
                </c:pt>
                <c:pt idx="84">
                  <c:v>6.9999999999999932E-3</c:v>
                </c:pt>
                <c:pt idx="85">
                  <c:v>7.1999999999999929E-3</c:v>
                </c:pt>
                <c:pt idx="86">
                  <c:v>7.3999999999999925E-3</c:v>
                </c:pt>
                <c:pt idx="87">
                  <c:v>7.5999999999999922E-3</c:v>
                </c:pt>
                <c:pt idx="88">
                  <c:v>7.7999999999999918E-3</c:v>
                </c:pt>
                <c:pt idx="89">
                  <c:v>7.9999999999999915E-3</c:v>
                </c:pt>
                <c:pt idx="90">
                  <c:v>8.199999999999992E-3</c:v>
                </c:pt>
                <c:pt idx="91">
                  <c:v>8.3999999999999925E-3</c:v>
                </c:pt>
                <c:pt idx="92">
                  <c:v>8.5999999999999931E-3</c:v>
                </c:pt>
                <c:pt idx="93">
                  <c:v>8.7999999999999936E-3</c:v>
                </c:pt>
                <c:pt idx="94">
                  <c:v>8.9999999999999941E-3</c:v>
                </c:pt>
                <c:pt idx="95">
                  <c:v>9.1999999999999946E-3</c:v>
                </c:pt>
                <c:pt idx="96">
                  <c:v>9.3999999999999952E-3</c:v>
                </c:pt>
                <c:pt idx="97">
                  <c:v>9.5999999999999957E-3</c:v>
                </c:pt>
                <c:pt idx="98">
                  <c:v>9.7999999999999962E-3</c:v>
                </c:pt>
                <c:pt idx="99">
                  <c:v>9.9999999999999967E-3</c:v>
                </c:pt>
                <c:pt idx="100">
                  <c:v>1.0999999999999996E-2</c:v>
                </c:pt>
                <c:pt idx="101">
                  <c:v>1.1999999999999997E-2</c:v>
                </c:pt>
                <c:pt idx="102">
                  <c:v>1.2999999999999998E-2</c:v>
                </c:pt>
                <c:pt idx="103">
                  <c:v>1.3999999999999999E-2</c:v>
                </c:pt>
                <c:pt idx="104">
                  <c:v>1.4999999999999999E-2</c:v>
                </c:pt>
                <c:pt idx="105">
                  <c:v>1.6E-2</c:v>
                </c:pt>
                <c:pt idx="106">
                  <c:v>1.7000000000000001E-2</c:v>
                </c:pt>
                <c:pt idx="107">
                  <c:v>1.8000000000000002E-2</c:v>
                </c:pt>
                <c:pt idx="108">
                  <c:v>1.9000000000000003E-2</c:v>
                </c:pt>
                <c:pt idx="109">
                  <c:v>2.0000000000000004E-2</c:v>
                </c:pt>
                <c:pt idx="110">
                  <c:v>2.1000000000000005E-2</c:v>
                </c:pt>
                <c:pt idx="111">
                  <c:v>2.2000000000000006E-2</c:v>
                </c:pt>
                <c:pt idx="112">
                  <c:v>2.3000000000000007E-2</c:v>
                </c:pt>
                <c:pt idx="113">
                  <c:v>2.4000000000000007E-2</c:v>
                </c:pt>
                <c:pt idx="114">
                  <c:v>2.5000000000000008E-2</c:v>
                </c:pt>
                <c:pt idx="115">
                  <c:v>2.6000000000000009E-2</c:v>
                </c:pt>
                <c:pt idx="116">
                  <c:v>2.700000000000001E-2</c:v>
                </c:pt>
                <c:pt idx="117">
                  <c:v>2.8000000000000011E-2</c:v>
                </c:pt>
                <c:pt idx="118">
                  <c:v>2.9000000000000012E-2</c:v>
                </c:pt>
                <c:pt idx="119">
                  <c:v>3.0000000000000013E-2</c:v>
                </c:pt>
              </c:numCache>
            </c:numRef>
          </c:xVal>
          <c:yVal>
            <c:numRef>
              <c:f>'SPM_Figure 7-3'!$D$4:$D$115</c:f>
              <c:numCache>
                <c:formatCode>0.000</c:formatCode>
                <c:ptCount val="112"/>
                <c:pt idx="0">
                  <c:v>2.5988500000000001</c:v>
                </c:pt>
                <c:pt idx="1">
                  <c:v>2.5778799999999999</c:v>
                </c:pt>
                <c:pt idx="2">
                  <c:v>2.55376</c:v>
                </c:pt>
                <c:pt idx="3">
                  <c:v>2.53267</c:v>
                </c:pt>
                <c:pt idx="4">
                  <c:v>2.50997</c:v>
                </c:pt>
                <c:pt idx="5">
                  <c:v>2.4897900000000002</c:v>
                </c:pt>
                <c:pt idx="6">
                  <c:v>2.4707599999999998</c:v>
                </c:pt>
                <c:pt idx="7">
                  <c:v>2.4527999999999999</c:v>
                </c:pt>
                <c:pt idx="8">
                  <c:v>2.4344299999999999</c:v>
                </c:pt>
                <c:pt idx="9">
                  <c:v>2.4161799999999998</c:v>
                </c:pt>
                <c:pt idx="10">
                  <c:v>2.3816800000000002</c:v>
                </c:pt>
                <c:pt idx="11">
                  <c:v>2.3486799999999999</c:v>
                </c:pt>
                <c:pt idx="12">
                  <c:v>2.31785</c:v>
                </c:pt>
                <c:pt idx="13">
                  <c:v>2.2863299999999995</c:v>
                </c:pt>
                <c:pt idx="14">
                  <c:v>2.2575399999999997</c:v>
                </c:pt>
                <c:pt idx="15">
                  <c:v>2.2313000000000001</c:v>
                </c:pt>
                <c:pt idx="16">
                  <c:v>2.2051999999999996</c:v>
                </c:pt>
                <c:pt idx="17">
                  <c:v>2.1829200000000002</c:v>
                </c:pt>
                <c:pt idx="18">
                  <c:v>2.15808</c:v>
                </c:pt>
                <c:pt idx="19">
                  <c:v>2.1364299999999998</c:v>
                </c:pt>
                <c:pt idx="20">
                  <c:v>2.1155599999999999</c:v>
                </c:pt>
                <c:pt idx="21">
                  <c:v>2.09443</c:v>
                </c:pt>
                <c:pt idx="22">
                  <c:v>2.0747100000000001</c:v>
                </c:pt>
                <c:pt idx="23">
                  <c:v>2.0559399999999997</c:v>
                </c:pt>
                <c:pt idx="24">
                  <c:v>2.0378499999999997</c:v>
                </c:pt>
                <c:pt idx="25">
                  <c:v>2.02094</c:v>
                </c:pt>
                <c:pt idx="26">
                  <c:v>2.0042800000000001</c:v>
                </c:pt>
                <c:pt idx="27">
                  <c:v>1.9876099999999999</c:v>
                </c:pt>
                <c:pt idx="28">
                  <c:v>1.97333</c:v>
                </c:pt>
                <c:pt idx="29">
                  <c:v>1.9599099999999998</c:v>
                </c:pt>
                <c:pt idx="30">
                  <c:v>1.9460300000000001</c:v>
                </c:pt>
                <c:pt idx="31">
                  <c:v>1.9321899999999999</c:v>
                </c:pt>
                <c:pt idx="32">
                  <c:v>1.9192399999999998</c:v>
                </c:pt>
                <c:pt idx="33">
                  <c:v>1.9071199999999999</c:v>
                </c:pt>
                <c:pt idx="34">
                  <c:v>1.8947100000000001</c:v>
                </c:pt>
                <c:pt idx="35">
                  <c:v>1.8818600000000001</c:v>
                </c:pt>
                <c:pt idx="36">
                  <c:v>1.87066</c:v>
                </c:pt>
                <c:pt idx="37">
                  <c:v>1.85972</c:v>
                </c:pt>
                <c:pt idx="38">
                  <c:v>1.8501699999999999</c:v>
                </c:pt>
                <c:pt idx="39">
                  <c:v>1.8401500000000002</c:v>
                </c:pt>
                <c:pt idx="40">
                  <c:v>1.7890000000000001</c:v>
                </c:pt>
                <c:pt idx="41">
                  <c:v>1.74882</c:v>
                </c:pt>
                <c:pt idx="42">
                  <c:v>1.71051</c:v>
                </c:pt>
                <c:pt idx="43">
                  <c:v>1.6792299999999998</c:v>
                </c:pt>
                <c:pt idx="44">
                  <c:v>1.64957</c:v>
                </c:pt>
                <c:pt idx="45">
                  <c:v>1.6207900000000002</c:v>
                </c:pt>
                <c:pt idx="46">
                  <c:v>1.5970199999999999</c:v>
                </c:pt>
                <c:pt idx="47">
                  <c:v>1.57477</c:v>
                </c:pt>
                <c:pt idx="48">
                  <c:v>1.5545900000000001</c:v>
                </c:pt>
                <c:pt idx="49">
                  <c:v>1.53518</c:v>
                </c:pt>
                <c:pt idx="50">
                  <c:v>1.5171999999999999</c:v>
                </c:pt>
                <c:pt idx="51">
                  <c:v>1.5008699999999999</c:v>
                </c:pt>
                <c:pt idx="52">
                  <c:v>1.4840899999999999</c:v>
                </c:pt>
                <c:pt idx="53">
                  <c:v>1.4684200000000001</c:v>
                </c:pt>
                <c:pt idx="54">
                  <c:v>1.45407</c:v>
                </c:pt>
                <c:pt idx="55">
                  <c:v>1.4394399999999998</c:v>
                </c:pt>
                <c:pt idx="56">
                  <c:v>1.4248400000000001</c:v>
                </c:pt>
                <c:pt idx="57">
                  <c:v>1.4096600000000001</c:v>
                </c:pt>
                <c:pt idx="58">
                  <c:v>1.3976500000000001</c:v>
                </c:pt>
                <c:pt idx="59">
                  <c:v>1.3868399999999999</c:v>
                </c:pt>
                <c:pt idx="60">
                  <c:v>1.3755500000000001</c:v>
                </c:pt>
                <c:pt idx="61">
                  <c:v>1.3654299999999999</c:v>
                </c:pt>
                <c:pt idx="62">
                  <c:v>1.35398</c:v>
                </c:pt>
                <c:pt idx="63">
                  <c:v>1.3443100000000001</c:v>
                </c:pt>
                <c:pt idx="64">
                  <c:v>1.3361700000000001</c:v>
                </c:pt>
                <c:pt idx="65">
                  <c:v>1.3273899999999998</c:v>
                </c:pt>
                <c:pt idx="66">
                  <c:v>1.3183099999999999</c:v>
                </c:pt>
                <c:pt idx="67">
                  <c:v>1.3102800000000001</c:v>
                </c:pt>
                <c:pt idx="68">
                  <c:v>1.3013699999999999</c:v>
                </c:pt>
                <c:pt idx="69">
                  <c:v>1.2936399999999999</c:v>
                </c:pt>
                <c:pt idx="70">
                  <c:v>1.2758700000000001</c:v>
                </c:pt>
                <c:pt idx="71">
                  <c:v>1.2624500000000001</c:v>
                </c:pt>
                <c:pt idx="72">
                  <c:v>1.24949</c:v>
                </c:pt>
                <c:pt idx="73">
                  <c:v>1.2365900000000001</c:v>
                </c:pt>
                <c:pt idx="74">
                  <c:v>1.2253700000000001</c:v>
                </c:pt>
                <c:pt idx="75">
                  <c:v>1.2145900000000001</c:v>
                </c:pt>
                <c:pt idx="76">
                  <c:v>1.2039599999999999</c:v>
                </c:pt>
                <c:pt idx="77">
                  <c:v>1.19469</c:v>
                </c:pt>
                <c:pt idx="78">
                  <c:v>1.1835200000000001</c:v>
                </c:pt>
                <c:pt idx="79">
                  <c:v>1.17411</c:v>
                </c:pt>
                <c:pt idx="80">
                  <c:v>1.1651199999999999</c:v>
                </c:pt>
                <c:pt idx="81">
                  <c:v>1.1565799999999999</c:v>
                </c:pt>
                <c:pt idx="82">
                  <c:v>1.149</c:v>
                </c:pt>
                <c:pt idx="83">
                  <c:v>1.1419700000000002</c:v>
                </c:pt>
                <c:pt idx="84">
                  <c:v>1.1346099999999999</c:v>
                </c:pt>
                <c:pt idx="85">
                  <c:v>1.1282700000000001</c:v>
                </c:pt>
                <c:pt idx="86">
                  <c:v>1.1215999999999999</c:v>
                </c:pt>
                <c:pt idx="87">
                  <c:v>1.11582</c:v>
                </c:pt>
                <c:pt idx="88">
                  <c:v>1.10982</c:v>
                </c:pt>
                <c:pt idx="89">
                  <c:v>1.10531</c:v>
                </c:pt>
                <c:pt idx="90">
                  <c:v>1.0986899999999999</c:v>
                </c:pt>
                <c:pt idx="91">
                  <c:v>1.09389</c:v>
                </c:pt>
                <c:pt idx="92">
                  <c:v>1.0884800000000001</c:v>
                </c:pt>
                <c:pt idx="93">
                  <c:v>1.0838700000000001</c:v>
                </c:pt>
                <c:pt idx="94">
                  <c:v>1.07934</c:v>
                </c:pt>
                <c:pt idx="95">
                  <c:v>1.0743499999999999</c:v>
                </c:pt>
                <c:pt idx="96">
                  <c:v>1.0706500000000001</c:v>
                </c:pt>
                <c:pt idx="97">
                  <c:v>1.0670299999999999</c:v>
                </c:pt>
                <c:pt idx="98">
                  <c:v>1.06281</c:v>
                </c:pt>
                <c:pt idx="99">
                  <c:v>1.0586500000000001</c:v>
                </c:pt>
                <c:pt idx="100">
                  <c:v>1.0414699999999999</c:v>
                </c:pt>
                <c:pt idx="101">
                  <c:v>1.0277000000000001</c:v>
                </c:pt>
                <c:pt idx="102">
                  <c:v>1.0158200000000002</c:v>
                </c:pt>
                <c:pt idx="103">
                  <c:v>1.0073099999999999</c:v>
                </c:pt>
                <c:pt idx="104">
                  <c:v>1.0003</c:v>
                </c:pt>
                <c:pt idx="105">
                  <c:v>0.99424000000000001</c:v>
                </c:pt>
                <c:pt idx="106">
                  <c:v>0.98879000000000006</c:v>
                </c:pt>
                <c:pt idx="107">
                  <c:v>0.98408000000000007</c:v>
                </c:pt>
                <c:pt idx="108">
                  <c:v>0.98092000000000001</c:v>
                </c:pt>
                <c:pt idx="109">
                  <c:v>0.97933000000000003</c:v>
                </c:pt>
                <c:pt idx="110">
                  <c:v>0.97885</c:v>
                </c:pt>
                <c:pt idx="111">
                  <c:v>0.97876000000000007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52-4AB3-A1C8-CA6834CE323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'SPM_Figure 7-3'!$A$4:$A$123</c:f>
              <c:numCache>
                <c:formatCode>General</c:formatCode>
                <c:ptCount val="120"/>
                <c:pt idx="0">
                  <c:v>3.1E-4</c:v>
                </c:pt>
                <c:pt idx="1">
                  <c:v>3.2000000000000003E-4</c:v>
                </c:pt>
                <c:pt idx="2">
                  <c:v>3.3000000000000005E-4</c:v>
                </c:pt>
                <c:pt idx="3">
                  <c:v>3.4000000000000008E-4</c:v>
                </c:pt>
                <c:pt idx="4">
                  <c:v>3.500000000000001E-4</c:v>
                </c:pt>
                <c:pt idx="5">
                  <c:v>3.6000000000000013E-4</c:v>
                </c:pt>
                <c:pt idx="6">
                  <c:v>3.7000000000000016E-4</c:v>
                </c:pt>
                <c:pt idx="7">
                  <c:v>3.8000000000000018E-4</c:v>
                </c:pt>
                <c:pt idx="8">
                  <c:v>3.9000000000000021E-4</c:v>
                </c:pt>
                <c:pt idx="9">
                  <c:v>4.0000000000000024E-4</c:v>
                </c:pt>
                <c:pt idx="10">
                  <c:v>4.2000000000000023E-4</c:v>
                </c:pt>
                <c:pt idx="11">
                  <c:v>4.4000000000000023E-4</c:v>
                </c:pt>
                <c:pt idx="12">
                  <c:v>4.6000000000000023E-4</c:v>
                </c:pt>
                <c:pt idx="13">
                  <c:v>4.8000000000000023E-4</c:v>
                </c:pt>
                <c:pt idx="14">
                  <c:v>5.0000000000000023E-4</c:v>
                </c:pt>
                <c:pt idx="15">
                  <c:v>5.2000000000000028E-4</c:v>
                </c:pt>
                <c:pt idx="16">
                  <c:v>5.4000000000000033E-4</c:v>
                </c:pt>
                <c:pt idx="17">
                  <c:v>5.6000000000000038E-4</c:v>
                </c:pt>
                <c:pt idx="18">
                  <c:v>5.8000000000000044E-4</c:v>
                </c:pt>
                <c:pt idx="19">
                  <c:v>6.0000000000000049E-4</c:v>
                </c:pt>
                <c:pt idx="20">
                  <c:v>6.2000000000000054E-4</c:v>
                </c:pt>
                <c:pt idx="21">
                  <c:v>6.4000000000000059E-4</c:v>
                </c:pt>
                <c:pt idx="22">
                  <c:v>6.6000000000000065E-4</c:v>
                </c:pt>
                <c:pt idx="23">
                  <c:v>6.800000000000007E-4</c:v>
                </c:pt>
                <c:pt idx="24">
                  <c:v>7.0000000000000075E-4</c:v>
                </c:pt>
                <c:pt idx="25">
                  <c:v>7.200000000000008E-4</c:v>
                </c:pt>
                <c:pt idx="26">
                  <c:v>7.4000000000000086E-4</c:v>
                </c:pt>
                <c:pt idx="27">
                  <c:v>7.6000000000000091E-4</c:v>
                </c:pt>
                <c:pt idx="28">
                  <c:v>7.8000000000000096E-4</c:v>
                </c:pt>
                <c:pt idx="29">
                  <c:v>8.0000000000000101E-4</c:v>
                </c:pt>
                <c:pt idx="30">
                  <c:v>8.2000000000000107E-4</c:v>
                </c:pt>
                <c:pt idx="31">
                  <c:v>8.4000000000000112E-4</c:v>
                </c:pt>
                <c:pt idx="32">
                  <c:v>8.6000000000000117E-4</c:v>
                </c:pt>
                <c:pt idx="33">
                  <c:v>8.8000000000000122E-4</c:v>
                </c:pt>
                <c:pt idx="34">
                  <c:v>9.0000000000000128E-4</c:v>
                </c:pt>
                <c:pt idx="35">
                  <c:v>9.2000000000000133E-4</c:v>
                </c:pt>
                <c:pt idx="36">
                  <c:v>9.4000000000000138E-4</c:v>
                </c:pt>
                <c:pt idx="37">
                  <c:v>9.6000000000000143E-4</c:v>
                </c:pt>
                <c:pt idx="38">
                  <c:v>9.8000000000000149E-4</c:v>
                </c:pt>
                <c:pt idx="39">
                  <c:v>1.0000000000000015E-3</c:v>
                </c:pt>
                <c:pt idx="40">
                  <c:v>1.1000000000000016E-3</c:v>
                </c:pt>
                <c:pt idx="41">
                  <c:v>1.2000000000000016E-3</c:v>
                </c:pt>
                <c:pt idx="42">
                  <c:v>1.3000000000000017E-3</c:v>
                </c:pt>
                <c:pt idx="43">
                  <c:v>1.4000000000000017E-3</c:v>
                </c:pt>
                <c:pt idx="44">
                  <c:v>1.5000000000000018E-3</c:v>
                </c:pt>
                <c:pt idx="45">
                  <c:v>1.6000000000000018E-3</c:v>
                </c:pt>
                <c:pt idx="46">
                  <c:v>1.7000000000000019E-3</c:v>
                </c:pt>
                <c:pt idx="47">
                  <c:v>1.8000000000000019E-3</c:v>
                </c:pt>
                <c:pt idx="48">
                  <c:v>1.9000000000000019E-3</c:v>
                </c:pt>
                <c:pt idx="49">
                  <c:v>2.0000000000000018E-3</c:v>
                </c:pt>
                <c:pt idx="50">
                  <c:v>2.1000000000000016E-3</c:v>
                </c:pt>
                <c:pt idx="51">
                  <c:v>2.2000000000000014E-3</c:v>
                </c:pt>
                <c:pt idx="52">
                  <c:v>2.3000000000000013E-3</c:v>
                </c:pt>
                <c:pt idx="53">
                  <c:v>2.4000000000000011E-3</c:v>
                </c:pt>
                <c:pt idx="54">
                  <c:v>2.5000000000000009E-3</c:v>
                </c:pt>
                <c:pt idx="55">
                  <c:v>2.6000000000000007E-3</c:v>
                </c:pt>
                <c:pt idx="56">
                  <c:v>2.7000000000000006E-3</c:v>
                </c:pt>
                <c:pt idx="57">
                  <c:v>2.8000000000000004E-3</c:v>
                </c:pt>
                <c:pt idx="58">
                  <c:v>2.9000000000000002E-3</c:v>
                </c:pt>
                <c:pt idx="59">
                  <c:v>3.0000000000000001E-3</c:v>
                </c:pt>
                <c:pt idx="60">
                  <c:v>3.0999999999999999E-3</c:v>
                </c:pt>
                <c:pt idx="61">
                  <c:v>3.1999999999999997E-3</c:v>
                </c:pt>
                <c:pt idx="62">
                  <c:v>3.2999999999999995E-3</c:v>
                </c:pt>
                <c:pt idx="63">
                  <c:v>3.3999999999999994E-3</c:v>
                </c:pt>
                <c:pt idx="64">
                  <c:v>3.4999999999999992E-3</c:v>
                </c:pt>
                <c:pt idx="65">
                  <c:v>3.599999999999999E-3</c:v>
                </c:pt>
                <c:pt idx="66">
                  <c:v>3.6999999999999989E-3</c:v>
                </c:pt>
                <c:pt idx="67">
                  <c:v>3.7999999999999987E-3</c:v>
                </c:pt>
                <c:pt idx="68">
                  <c:v>3.8999999999999985E-3</c:v>
                </c:pt>
                <c:pt idx="69">
                  <c:v>3.9999999999999983E-3</c:v>
                </c:pt>
                <c:pt idx="70">
                  <c:v>4.199999999999998E-3</c:v>
                </c:pt>
                <c:pt idx="71">
                  <c:v>4.3999999999999977E-3</c:v>
                </c:pt>
                <c:pt idx="72">
                  <c:v>4.5999999999999973E-3</c:v>
                </c:pt>
                <c:pt idx="73">
                  <c:v>4.799999999999997E-3</c:v>
                </c:pt>
                <c:pt idx="74">
                  <c:v>4.9999999999999966E-3</c:v>
                </c:pt>
                <c:pt idx="75">
                  <c:v>5.1999999999999963E-3</c:v>
                </c:pt>
                <c:pt idx="76">
                  <c:v>5.3999999999999959E-3</c:v>
                </c:pt>
                <c:pt idx="77">
                  <c:v>5.5999999999999956E-3</c:v>
                </c:pt>
                <c:pt idx="78">
                  <c:v>5.7999999999999953E-3</c:v>
                </c:pt>
                <c:pt idx="79">
                  <c:v>5.9999999999999949E-3</c:v>
                </c:pt>
                <c:pt idx="80">
                  <c:v>6.1999999999999946E-3</c:v>
                </c:pt>
                <c:pt idx="81">
                  <c:v>6.3999999999999942E-3</c:v>
                </c:pt>
                <c:pt idx="82">
                  <c:v>6.5999999999999939E-3</c:v>
                </c:pt>
                <c:pt idx="83">
                  <c:v>6.7999999999999935E-3</c:v>
                </c:pt>
                <c:pt idx="84">
                  <c:v>6.9999999999999932E-3</c:v>
                </c:pt>
                <c:pt idx="85">
                  <c:v>7.1999999999999929E-3</c:v>
                </c:pt>
                <c:pt idx="86">
                  <c:v>7.3999999999999925E-3</c:v>
                </c:pt>
                <c:pt idx="87">
                  <c:v>7.5999999999999922E-3</c:v>
                </c:pt>
                <c:pt idx="88">
                  <c:v>7.7999999999999918E-3</c:v>
                </c:pt>
                <c:pt idx="89">
                  <c:v>7.9999999999999915E-3</c:v>
                </c:pt>
                <c:pt idx="90">
                  <c:v>8.199999999999992E-3</c:v>
                </c:pt>
                <c:pt idx="91">
                  <c:v>8.3999999999999925E-3</c:v>
                </c:pt>
                <c:pt idx="92">
                  <c:v>8.5999999999999931E-3</c:v>
                </c:pt>
                <c:pt idx="93">
                  <c:v>8.7999999999999936E-3</c:v>
                </c:pt>
                <c:pt idx="94">
                  <c:v>8.9999999999999941E-3</c:v>
                </c:pt>
                <c:pt idx="95">
                  <c:v>9.1999999999999946E-3</c:v>
                </c:pt>
                <c:pt idx="96">
                  <c:v>9.3999999999999952E-3</c:v>
                </c:pt>
                <c:pt idx="97">
                  <c:v>9.5999999999999957E-3</c:v>
                </c:pt>
                <c:pt idx="98">
                  <c:v>9.7999999999999962E-3</c:v>
                </c:pt>
                <c:pt idx="99">
                  <c:v>9.9999999999999967E-3</c:v>
                </c:pt>
                <c:pt idx="100">
                  <c:v>1.0999999999999996E-2</c:v>
                </c:pt>
                <c:pt idx="101">
                  <c:v>1.1999999999999997E-2</c:v>
                </c:pt>
                <c:pt idx="102">
                  <c:v>1.2999999999999998E-2</c:v>
                </c:pt>
                <c:pt idx="103">
                  <c:v>1.3999999999999999E-2</c:v>
                </c:pt>
                <c:pt idx="104">
                  <c:v>1.4999999999999999E-2</c:v>
                </c:pt>
                <c:pt idx="105">
                  <c:v>1.6E-2</c:v>
                </c:pt>
                <c:pt idx="106">
                  <c:v>1.7000000000000001E-2</c:v>
                </c:pt>
                <c:pt idx="107">
                  <c:v>1.8000000000000002E-2</c:v>
                </c:pt>
                <c:pt idx="108">
                  <c:v>1.9000000000000003E-2</c:v>
                </c:pt>
                <c:pt idx="109">
                  <c:v>2.0000000000000004E-2</c:v>
                </c:pt>
                <c:pt idx="110">
                  <c:v>2.1000000000000005E-2</c:v>
                </c:pt>
                <c:pt idx="111">
                  <c:v>2.2000000000000006E-2</c:v>
                </c:pt>
                <c:pt idx="112">
                  <c:v>2.3000000000000007E-2</c:v>
                </c:pt>
                <c:pt idx="113">
                  <c:v>2.4000000000000007E-2</c:v>
                </c:pt>
                <c:pt idx="114">
                  <c:v>2.5000000000000008E-2</c:v>
                </c:pt>
                <c:pt idx="115">
                  <c:v>2.6000000000000009E-2</c:v>
                </c:pt>
                <c:pt idx="116">
                  <c:v>2.700000000000001E-2</c:v>
                </c:pt>
                <c:pt idx="117">
                  <c:v>2.8000000000000011E-2</c:v>
                </c:pt>
                <c:pt idx="118">
                  <c:v>2.9000000000000012E-2</c:v>
                </c:pt>
                <c:pt idx="119">
                  <c:v>3.0000000000000013E-2</c:v>
                </c:pt>
              </c:numCache>
            </c:numRef>
          </c:xVal>
          <c:yVal>
            <c:numRef>
              <c:f>'SPM_Figure 7-3'!$C$4:$C$111</c:f>
              <c:numCache>
                <c:formatCode>0.000</c:formatCode>
                <c:ptCount val="108"/>
                <c:pt idx="0">
                  <c:v>2.4428000000000001</c:v>
                </c:pt>
                <c:pt idx="1">
                  <c:v>2.4238499999999998</c:v>
                </c:pt>
                <c:pt idx="2">
                  <c:v>2.4019599999999999</c:v>
                </c:pt>
                <c:pt idx="3">
                  <c:v>2.3827400000000001</c:v>
                </c:pt>
                <c:pt idx="4">
                  <c:v>2.36205</c:v>
                </c:pt>
                <c:pt idx="5">
                  <c:v>2.3436399999999997</c:v>
                </c:pt>
                <c:pt idx="6">
                  <c:v>2.3262900000000002</c:v>
                </c:pt>
                <c:pt idx="7">
                  <c:v>2.31006</c:v>
                </c:pt>
                <c:pt idx="8">
                  <c:v>2.2934700000000001</c:v>
                </c:pt>
                <c:pt idx="9">
                  <c:v>2.2768699999999997</c:v>
                </c:pt>
                <c:pt idx="10">
                  <c:v>2.2448399999999999</c:v>
                </c:pt>
                <c:pt idx="11">
                  <c:v>2.2140899999999997</c:v>
                </c:pt>
                <c:pt idx="12">
                  <c:v>2.1860200000000001</c:v>
                </c:pt>
                <c:pt idx="13">
                  <c:v>2.1579699999999997</c:v>
                </c:pt>
                <c:pt idx="14">
                  <c:v>2.13232</c:v>
                </c:pt>
                <c:pt idx="15">
                  <c:v>2.1086799999999997</c:v>
                </c:pt>
                <c:pt idx="16">
                  <c:v>2.0848199999999997</c:v>
                </c:pt>
                <c:pt idx="17">
                  <c:v>2.06426</c:v>
                </c:pt>
                <c:pt idx="18">
                  <c:v>2.0413100000000002</c:v>
                </c:pt>
                <c:pt idx="19">
                  <c:v>2.0213700000000001</c:v>
                </c:pt>
                <c:pt idx="20">
                  <c:v>2.0022599999999997</c:v>
                </c:pt>
                <c:pt idx="21">
                  <c:v>1.9830399999999999</c:v>
                </c:pt>
                <c:pt idx="22">
                  <c:v>1.96516</c:v>
                </c:pt>
                <c:pt idx="23">
                  <c:v>1.9481700000000002</c:v>
                </c:pt>
                <c:pt idx="24">
                  <c:v>1.9317199999999999</c:v>
                </c:pt>
                <c:pt idx="25">
                  <c:v>1.9162800000000002</c:v>
                </c:pt>
                <c:pt idx="26">
                  <c:v>1.9009199999999999</c:v>
                </c:pt>
                <c:pt idx="27">
                  <c:v>1.8854300000000002</c:v>
                </c:pt>
                <c:pt idx="28">
                  <c:v>1.87209</c:v>
                </c:pt>
                <c:pt idx="29">
                  <c:v>1.8595300000000001</c:v>
                </c:pt>
                <c:pt idx="30">
                  <c:v>1.8465400000000001</c:v>
                </c:pt>
                <c:pt idx="31">
                  <c:v>1.8336000000000001</c:v>
                </c:pt>
                <c:pt idx="32">
                  <c:v>1.8215199999999998</c:v>
                </c:pt>
                <c:pt idx="33">
                  <c:v>1.8101799999999999</c:v>
                </c:pt>
                <c:pt idx="34">
                  <c:v>1.79854</c:v>
                </c:pt>
                <c:pt idx="35">
                  <c:v>1.7864100000000003</c:v>
                </c:pt>
                <c:pt idx="36">
                  <c:v>1.77576</c:v>
                </c:pt>
                <c:pt idx="37">
                  <c:v>1.7652699999999999</c:v>
                </c:pt>
                <c:pt idx="38">
                  <c:v>1.7560200000000001</c:v>
                </c:pt>
                <c:pt idx="39">
                  <c:v>1.7462199999999999</c:v>
                </c:pt>
                <c:pt idx="40">
                  <c:v>1.6947400000000001</c:v>
                </c:pt>
                <c:pt idx="41">
                  <c:v>1.6530099999999999</c:v>
                </c:pt>
                <c:pt idx="42">
                  <c:v>1.61287</c:v>
                </c:pt>
                <c:pt idx="43">
                  <c:v>1.58033</c:v>
                </c:pt>
                <c:pt idx="44">
                  <c:v>1.55</c:v>
                </c:pt>
                <c:pt idx="45">
                  <c:v>1.52091</c:v>
                </c:pt>
                <c:pt idx="46">
                  <c:v>1.4967599999999999</c:v>
                </c:pt>
                <c:pt idx="47">
                  <c:v>1.4739499999999999</c:v>
                </c:pt>
                <c:pt idx="48">
                  <c:v>1.4531700000000001</c:v>
                </c:pt>
                <c:pt idx="49">
                  <c:v>1.4335</c:v>
                </c:pt>
                <c:pt idx="50">
                  <c:v>1.4158500000000001</c:v>
                </c:pt>
                <c:pt idx="51">
                  <c:v>1.4004300000000001</c:v>
                </c:pt>
                <c:pt idx="52">
                  <c:v>1.38523</c:v>
                </c:pt>
                <c:pt idx="53">
                  <c:v>1.3716200000000001</c:v>
                </c:pt>
                <c:pt idx="54">
                  <c:v>1.3595700000000002</c:v>
                </c:pt>
                <c:pt idx="55">
                  <c:v>1.34761</c:v>
                </c:pt>
                <c:pt idx="56">
                  <c:v>1.33592</c:v>
                </c:pt>
                <c:pt idx="57">
                  <c:v>1.32375</c:v>
                </c:pt>
                <c:pt idx="58">
                  <c:v>1.31389</c:v>
                </c:pt>
                <c:pt idx="59">
                  <c:v>1.30471</c:v>
                </c:pt>
                <c:pt idx="60">
                  <c:v>1.29471</c:v>
                </c:pt>
                <c:pt idx="61">
                  <c:v>1.28552</c:v>
                </c:pt>
                <c:pt idx="62">
                  <c:v>1.2750599999999999</c:v>
                </c:pt>
                <c:pt idx="63">
                  <c:v>1.26631</c:v>
                </c:pt>
                <c:pt idx="64">
                  <c:v>1.25915</c:v>
                </c:pt>
                <c:pt idx="65">
                  <c:v>1.2517100000000001</c:v>
                </c:pt>
                <c:pt idx="66">
                  <c:v>1.24437</c:v>
                </c:pt>
                <c:pt idx="67">
                  <c:v>1.23813</c:v>
                </c:pt>
                <c:pt idx="68">
                  <c:v>1.2314000000000001</c:v>
                </c:pt>
                <c:pt idx="69">
                  <c:v>1.2256900000000002</c:v>
                </c:pt>
                <c:pt idx="70">
                  <c:v>1.2127400000000002</c:v>
                </c:pt>
                <c:pt idx="71">
                  <c:v>1.20286</c:v>
                </c:pt>
                <c:pt idx="72">
                  <c:v>1.1930499999999999</c:v>
                </c:pt>
                <c:pt idx="73">
                  <c:v>1.18292</c:v>
                </c:pt>
                <c:pt idx="74">
                  <c:v>1.17387</c:v>
                </c:pt>
                <c:pt idx="75">
                  <c:v>1.1649799999999999</c:v>
                </c:pt>
                <c:pt idx="76">
                  <c:v>1.1560999999999999</c:v>
                </c:pt>
                <c:pt idx="77">
                  <c:v>1.14832</c:v>
                </c:pt>
                <c:pt idx="78">
                  <c:v>1.1389</c:v>
                </c:pt>
                <c:pt idx="79">
                  <c:v>1.13089</c:v>
                </c:pt>
                <c:pt idx="80">
                  <c:v>1.1231599999999999</c:v>
                </c:pt>
                <c:pt idx="81">
                  <c:v>1.1157300000000001</c:v>
                </c:pt>
                <c:pt idx="82">
                  <c:v>1.1090399999999998</c:v>
                </c:pt>
                <c:pt idx="83">
                  <c:v>1.10276</c:v>
                </c:pt>
                <c:pt idx="84">
                  <c:v>1.0960999999999999</c:v>
                </c:pt>
                <c:pt idx="85">
                  <c:v>1.0903400000000001</c:v>
                </c:pt>
                <c:pt idx="86">
                  <c:v>1.0842399999999999</c:v>
                </c:pt>
                <c:pt idx="87">
                  <c:v>1.0789500000000001</c:v>
                </c:pt>
                <c:pt idx="88">
                  <c:v>1.0734699999999999</c:v>
                </c:pt>
                <c:pt idx="89">
                  <c:v>1.06935</c:v>
                </c:pt>
                <c:pt idx="90">
                  <c:v>1.06332</c:v>
                </c:pt>
                <c:pt idx="91">
                  <c:v>1.0589599999999999</c:v>
                </c:pt>
                <c:pt idx="92">
                  <c:v>1.0540600000000002</c:v>
                </c:pt>
                <c:pt idx="93">
                  <c:v>1.0499100000000001</c:v>
                </c:pt>
                <c:pt idx="94">
                  <c:v>1.04582</c:v>
                </c:pt>
                <c:pt idx="95">
                  <c:v>1.0413000000000001</c:v>
                </c:pt>
                <c:pt idx="96">
                  <c:v>1.0379200000000002</c:v>
                </c:pt>
                <c:pt idx="97">
                  <c:v>1.03461</c:v>
                </c:pt>
                <c:pt idx="98">
                  <c:v>1.03071</c:v>
                </c:pt>
                <c:pt idx="99">
                  <c:v>1.02685</c:v>
                </c:pt>
                <c:pt idx="100">
                  <c:v>1.0111399999999999</c:v>
                </c:pt>
                <c:pt idx="101">
                  <c:v>0.99892999999999998</c:v>
                </c:pt>
                <c:pt idx="102">
                  <c:v>0.98794000000000004</c:v>
                </c:pt>
                <c:pt idx="103">
                  <c:v>0.97925000000000006</c:v>
                </c:pt>
                <c:pt idx="104">
                  <c:v>0.97238000000000002</c:v>
                </c:pt>
                <c:pt idx="105">
                  <c:v>0.96789999999999998</c:v>
                </c:pt>
                <c:pt idx="106">
                  <c:v>0.96513000000000004</c:v>
                </c:pt>
                <c:pt idx="107">
                  <c:v>0.96292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52-4AB3-A1C8-CA6834CE323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'SPM_Figure 7-3'!$A$4:$A$123</c:f>
              <c:numCache>
                <c:formatCode>General</c:formatCode>
                <c:ptCount val="120"/>
                <c:pt idx="0">
                  <c:v>3.1E-4</c:v>
                </c:pt>
                <c:pt idx="1">
                  <c:v>3.2000000000000003E-4</c:v>
                </c:pt>
                <c:pt idx="2">
                  <c:v>3.3000000000000005E-4</c:v>
                </c:pt>
                <c:pt idx="3">
                  <c:v>3.4000000000000008E-4</c:v>
                </c:pt>
                <c:pt idx="4">
                  <c:v>3.500000000000001E-4</c:v>
                </c:pt>
                <c:pt idx="5">
                  <c:v>3.6000000000000013E-4</c:v>
                </c:pt>
                <c:pt idx="6">
                  <c:v>3.7000000000000016E-4</c:v>
                </c:pt>
                <c:pt idx="7">
                  <c:v>3.8000000000000018E-4</c:v>
                </c:pt>
                <c:pt idx="8">
                  <c:v>3.9000000000000021E-4</c:v>
                </c:pt>
                <c:pt idx="9">
                  <c:v>4.0000000000000024E-4</c:v>
                </c:pt>
                <c:pt idx="10">
                  <c:v>4.2000000000000023E-4</c:v>
                </c:pt>
                <c:pt idx="11">
                  <c:v>4.4000000000000023E-4</c:v>
                </c:pt>
                <c:pt idx="12">
                  <c:v>4.6000000000000023E-4</c:v>
                </c:pt>
                <c:pt idx="13">
                  <c:v>4.8000000000000023E-4</c:v>
                </c:pt>
                <c:pt idx="14">
                  <c:v>5.0000000000000023E-4</c:v>
                </c:pt>
                <c:pt idx="15">
                  <c:v>5.2000000000000028E-4</c:v>
                </c:pt>
                <c:pt idx="16">
                  <c:v>5.4000000000000033E-4</c:v>
                </c:pt>
                <c:pt idx="17">
                  <c:v>5.6000000000000038E-4</c:v>
                </c:pt>
                <c:pt idx="18">
                  <c:v>5.8000000000000044E-4</c:v>
                </c:pt>
                <c:pt idx="19">
                  <c:v>6.0000000000000049E-4</c:v>
                </c:pt>
                <c:pt idx="20">
                  <c:v>6.2000000000000054E-4</c:v>
                </c:pt>
                <c:pt idx="21">
                  <c:v>6.4000000000000059E-4</c:v>
                </c:pt>
                <c:pt idx="22">
                  <c:v>6.6000000000000065E-4</c:v>
                </c:pt>
                <c:pt idx="23">
                  <c:v>6.800000000000007E-4</c:v>
                </c:pt>
                <c:pt idx="24">
                  <c:v>7.0000000000000075E-4</c:v>
                </c:pt>
                <c:pt idx="25">
                  <c:v>7.200000000000008E-4</c:v>
                </c:pt>
                <c:pt idx="26">
                  <c:v>7.4000000000000086E-4</c:v>
                </c:pt>
                <c:pt idx="27">
                  <c:v>7.6000000000000091E-4</c:v>
                </c:pt>
                <c:pt idx="28">
                  <c:v>7.8000000000000096E-4</c:v>
                </c:pt>
                <c:pt idx="29">
                  <c:v>8.0000000000000101E-4</c:v>
                </c:pt>
                <c:pt idx="30">
                  <c:v>8.2000000000000107E-4</c:v>
                </c:pt>
                <c:pt idx="31">
                  <c:v>8.4000000000000112E-4</c:v>
                </c:pt>
                <c:pt idx="32">
                  <c:v>8.6000000000000117E-4</c:v>
                </c:pt>
                <c:pt idx="33">
                  <c:v>8.8000000000000122E-4</c:v>
                </c:pt>
                <c:pt idx="34">
                  <c:v>9.0000000000000128E-4</c:v>
                </c:pt>
                <c:pt idx="35">
                  <c:v>9.2000000000000133E-4</c:v>
                </c:pt>
                <c:pt idx="36">
                  <c:v>9.4000000000000138E-4</c:v>
                </c:pt>
                <c:pt idx="37">
                  <c:v>9.6000000000000143E-4</c:v>
                </c:pt>
                <c:pt idx="38">
                  <c:v>9.8000000000000149E-4</c:v>
                </c:pt>
                <c:pt idx="39">
                  <c:v>1.0000000000000015E-3</c:v>
                </c:pt>
                <c:pt idx="40">
                  <c:v>1.1000000000000016E-3</c:v>
                </c:pt>
                <c:pt idx="41">
                  <c:v>1.2000000000000016E-3</c:v>
                </c:pt>
                <c:pt idx="42">
                  <c:v>1.3000000000000017E-3</c:v>
                </c:pt>
                <c:pt idx="43">
                  <c:v>1.4000000000000017E-3</c:v>
                </c:pt>
                <c:pt idx="44">
                  <c:v>1.5000000000000018E-3</c:v>
                </c:pt>
                <c:pt idx="45">
                  <c:v>1.6000000000000018E-3</c:v>
                </c:pt>
                <c:pt idx="46">
                  <c:v>1.7000000000000019E-3</c:v>
                </c:pt>
                <c:pt idx="47">
                  <c:v>1.8000000000000019E-3</c:v>
                </c:pt>
                <c:pt idx="48">
                  <c:v>1.9000000000000019E-3</c:v>
                </c:pt>
                <c:pt idx="49">
                  <c:v>2.0000000000000018E-3</c:v>
                </c:pt>
                <c:pt idx="50">
                  <c:v>2.1000000000000016E-3</c:v>
                </c:pt>
                <c:pt idx="51">
                  <c:v>2.2000000000000014E-3</c:v>
                </c:pt>
                <c:pt idx="52">
                  <c:v>2.3000000000000013E-3</c:v>
                </c:pt>
                <c:pt idx="53">
                  <c:v>2.4000000000000011E-3</c:v>
                </c:pt>
                <c:pt idx="54">
                  <c:v>2.5000000000000009E-3</c:v>
                </c:pt>
                <c:pt idx="55">
                  <c:v>2.6000000000000007E-3</c:v>
                </c:pt>
                <c:pt idx="56">
                  <c:v>2.7000000000000006E-3</c:v>
                </c:pt>
                <c:pt idx="57">
                  <c:v>2.8000000000000004E-3</c:v>
                </c:pt>
                <c:pt idx="58">
                  <c:v>2.9000000000000002E-3</c:v>
                </c:pt>
                <c:pt idx="59">
                  <c:v>3.0000000000000001E-3</c:v>
                </c:pt>
                <c:pt idx="60">
                  <c:v>3.0999999999999999E-3</c:v>
                </c:pt>
                <c:pt idx="61">
                  <c:v>3.1999999999999997E-3</c:v>
                </c:pt>
                <c:pt idx="62">
                  <c:v>3.2999999999999995E-3</c:v>
                </c:pt>
                <c:pt idx="63">
                  <c:v>3.3999999999999994E-3</c:v>
                </c:pt>
                <c:pt idx="64">
                  <c:v>3.4999999999999992E-3</c:v>
                </c:pt>
                <c:pt idx="65">
                  <c:v>3.599999999999999E-3</c:v>
                </c:pt>
                <c:pt idx="66">
                  <c:v>3.6999999999999989E-3</c:v>
                </c:pt>
                <c:pt idx="67">
                  <c:v>3.7999999999999987E-3</c:v>
                </c:pt>
                <c:pt idx="68">
                  <c:v>3.8999999999999985E-3</c:v>
                </c:pt>
                <c:pt idx="69">
                  <c:v>3.9999999999999983E-3</c:v>
                </c:pt>
                <c:pt idx="70">
                  <c:v>4.199999999999998E-3</c:v>
                </c:pt>
                <c:pt idx="71">
                  <c:v>4.3999999999999977E-3</c:v>
                </c:pt>
                <c:pt idx="72">
                  <c:v>4.5999999999999973E-3</c:v>
                </c:pt>
                <c:pt idx="73">
                  <c:v>4.799999999999997E-3</c:v>
                </c:pt>
                <c:pt idx="74">
                  <c:v>4.9999999999999966E-3</c:v>
                </c:pt>
                <c:pt idx="75">
                  <c:v>5.1999999999999963E-3</c:v>
                </c:pt>
                <c:pt idx="76">
                  <c:v>5.3999999999999959E-3</c:v>
                </c:pt>
                <c:pt idx="77">
                  <c:v>5.5999999999999956E-3</c:v>
                </c:pt>
                <c:pt idx="78">
                  <c:v>5.7999999999999953E-3</c:v>
                </c:pt>
                <c:pt idx="79">
                  <c:v>5.9999999999999949E-3</c:v>
                </c:pt>
                <c:pt idx="80">
                  <c:v>6.1999999999999946E-3</c:v>
                </c:pt>
                <c:pt idx="81">
                  <c:v>6.3999999999999942E-3</c:v>
                </c:pt>
                <c:pt idx="82">
                  <c:v>6.5999999999999939E-3</c:v>
                </c:pt>
                <c:pt idx="83">
                  <c:v>6.7999999999999935E-3</c:v>
                </c:pt>
                <c:pt idx="84">
                  <c:v>6.9999999999999932E-3</c:v>
                </c:pt>
                <c:pt idx="85">
                  <c:v>7.1999999999999929E-3</c:v>
                </c:pt>
                <c:pt idx="86">
                  <c:v>7.3999999999999925E-3</c:v>
                </c:pt>
                <c:pt idx="87">
                  <c:v>7.5999999999999922E-3</c:v>
                </c:pt>
                <c:pt idx="88">
                  <c:v>7.7999999999999918E-3</c:v>
                </c:pt>
                <c:pt idx="89">
                  <c:v>7.9999999999999915E-3</c:v>
                </c:pt>
                <c:pt idx="90">
                  <c:v>8.199999999999992E-3</c:v>
                </c:pt>
                <c:pt idx="91">
                  <c:v>8.3999999999999925E-3</c:v>
                </c:pt>
                <c:pt idx="92">
                  <c:v>8.5999999999999931E-3</c:v>
                </c:pt>
                <c:pt idx="93">
                  <c:v>8.7999999999999936E-3</c:v>
                </c:pt>
                <c:pt idx="94">
                  <c:v>8.9999999999999941E-3</c:v>
                </c:pt>
                <c:pt idx="95">
                  <c:v>9.1999999999999946E-3</c:v>
                </c:pt>
                <c:pt idx="96">
                  <c:v>9.3999999999999952E-3</c:v>
                </c:pt>
                <c:pt idx="97">
                  <c:v>9.5999999999999957E-3</c:v>
                </c:pt>
                <c:pt idx="98">
                  <c:v>9.7999999999999962E-3</c:v>
                </c:pt>
                <c:pt idx="99">
                  <c:v>9.9999999999999967E-3</c:v>
                </c:pt>
                <c:pt idx="100">
                  <c:v>1.0999999999999996E-2</c:v>
                </c:pt>
                <c:pt idx="101">
                  <c:v>1.1999999999999997E-2</c:v>
                </c:pt>
                <c:pt idx="102">
                  <c:v>1.2999999999999998E-2</c:v>
                </c:pt>
                <c:pt idx="103">
                  <c:v>1.3999999999999999E-2</c:v>
                </c:pt>
                <c:pt idx="104">
                  <c:v>1.4999999999999999E-2</c:v>
                </c:pt>
                <c:pt idx="105">
                  <c:v>1.6E-2</c:v>
                </c:pt>
                <c:pt idx="106">
                  <c:v>1.7000000000000001E-2</c:v>
                </c:pt>
                <c:pt idx="107">
                  <c:v>1.8000000000000002E-2</c:v>
                </c:pt>
                <c:pt idx="108">
                  <c:v>1.9000000000000003E-2</c:v>
                </c:pt>
                <c:pt idx="109">
                  <c:v>2.0000000000000004E-2</c:v>
                </c:pt>
                <c:pt idx="110">
                  <c:v>2.1000000000000005E-2</c:v>
                </c:pt>
                <c:pt idx="111">
                  <c:v>2.2000000000000006E-2</c:v>
                </c:pt>
                <c:pt idx="112">
                  <c:v>2.3000000000000007E-2</c:v>
                </c:pt>
                <c:pt idx="113">
                  <c:v>2.4000000000000007E-2</c:v>
                </c:pt>
                <c:pt idx="114">
                  <c:v>2.5000000000000008E-2</c:v>
                </c:pt>
                <c:pt idx="115">
                  <c:v>2.6000000000000009E-2</c:v>
                </c:pt>
                <c:pt idx="116">
                  <c:v>2.700000000000001E-2</c:v>
                </c:pt>
                <c:pt idx="117">
                  <c:v>2.8000000000000011E-2</c:v>
                </c:pt>
                <c:pt idx="118">
                  <c:v>2.9000000000000012E-2</c:v>
                </c:pt>
                <c:pt idx="119">
                  <c:v>3.0000000000000013E-2</c:v>
                </c:pt>
              </c:numCache>
            </c:numRef>
          </c:xVal>
          <c:yVal>
            <c:numRef>
              <c:f>'SPM_Figure 7-3'!$B$4:$B$123</c:f>
              <c:numCache>
                <c:formatCode>0.000</c:formatCode>
                <c:ptCount val="120"/>
                <c:pt idx="0">
                  <c:v>2.2303799999999998</c:v>
                </c:pt>
                <c:pt idx="1">
                  <c:v>2.2128100000000002</c:v>
                </c:pt>
                <c:pt idx="2">
                  <c:v>2.1928700000000001</c:v>
                </c:pt>
                <c:pt idx="3">
                  <c:v>2.1759899999999996</c:v>
                </c:pt>
                <c:pt idx="4">
                  <c:v>2.1584900000000005</c:v>
                </c:pt>
                <c:pt idx="5">
                  <c:v>2.1433</c:v>
                </c:pt>
                <c:pt idx="6">
                  <c:v>2.1291500000000001</c:v>
                </c:pt>
                <c:pt idx="7">
                  <c:v>2.1158299999999999</c:v>
                </c:pt>
                <c:pt idx="8">
                  <c:v>2.1020300000000001</c:v>
                </c:pt>
                <c:pt idx="9">
                  <c:v>2.0879400000000001</c:v>
                </c:pt>
                <c:pt idx="10">
                  <c:v>2.0604800000000001</c:v>
                </c:pt>
                <c:pt idx="11">
                  <c:v>2.0343900000000001</c:v>
                </c:pt>
                <c:pt idx="12">
                  <c:v>2.0106999999999999</c:v>
                </c:pt>
                <c:pt idx="13">
                  <c:v>1.9867000000000001</c:v>
                </c:pt>
                <c:pt idx="14">
                  <c:v>1.96452</c:v>
                </c:pt>
                <c:pt idx="15">
                  <c:v>1.9438900000000001</c:v>
                </c:pt>
                <c:pt idx="16">
                  <c:v>1.92286</c:v>
                </c:pt>
                <c:pt idx="17">
                  <c:v>1.9044399999999999</c:v>
                </c:pt>
                <c:pt idx="18">
                  <c:v>1.8837300000000001</c:v>
                </c:pt>
                <c:pt idx="19">
                  <c:v>1.8660999999999999</c:v>
                </c:pt>
                <c:pt idx="20">
                  <c:v>1.8497700000000001</c:v>
                </c:pt>
                <c:pt idx="21">
                  <c:v>1.83352</c:v>
                </c:pt>
                <c:pt idx="22">
                  <c:v>1.8181700000000001</c:v>
                </c:pt>
                <c:pt idx="23">
                  <c:v>1.8029999999999999</c:v>
                </c:pt>
                <c:pt idx="24">
                  <c:v>1.7875700000000001</c:v>
                </c:pt>
                <c:pt idx="25">
                  <c:v>1.7726</c:v>
                </c:pt>
                <c:pt idx="26">
                  <c:v>1.7575799999999999</c:v>
                </c:pt>
                <c:pt idx="27">
                  <c:v>1.7426299999999999</c:v>
                </c:pt>
                <c:pt idx="28">
                  <c:v>1.73007</c:v>
                </c:pt>
                <c:pt idx="29">
                  <c:v>1.7184300000000001</c:v>
                </c:pt>
                <c:pt idx="30">
                  <c:v>1.70651</c:v>
                </c:pt>
                <c:pt idx="31">
                  <c:v>1.69465</c:v>
                </c:pt>
                <c:pt idx="32">
                  <c:v>1.68354</c:v>
                </c:pt>
                <c:pt idx="33">
                  <c:v>1.6730100000000001</c:v>
                </c:pt>
                <c:pt idx="34">
                  <c:v>1.66211</c:v>
                </c:pt>
                <c:pt idx="35">
                  <c:v>1.6506999999999998</c:v>
                </c:pt>
                <c:pt idx="36">
                  <c:v>1.6406700000000001</c:v>
                </c:pt>
                <c:pt idx="37">
                  <c:v>1.6307800000000001</c:v>
                </c:pt>
                <c:pt idx="38">
                  <c:v>1.62208</c:v>
                </c:pt>
                <c:pt idx="39">
                  <c:v>1.6129</c:v>
                </c:pt>
                <c:pt idx="40">
                  <c:v>1.5658300000000001</c:v>
                </c:pt>
                <c:pt idx="41">
                  <c:v>1.5301</c:v>
                </c:pt>
                <c:pt idx="42">
                  <c:v>1.4959099999999999</c:v>
                </c:pt>
                <c:pt idx="43">
                  <c:v>1.4653800000000001</c:v>
                </c:pt>
                <c:pt idx="44">
                  <c:v>1.4382199999999998</c:v>
                </c:pt>
                <c:pt idx="45">
                  <c:v>1.4127200000000002</c:v>
                </c:pt>
                <c:pt idx="46">
                  <c:v>1.3897300000000001</c:v>
                </c:pt>
                <c:pt idx="47">
                  <c:v>1.3682000000000001</c:v>
                </c:pt>
                <c:pt idx="48">
                  <c:v>1.3504700000000001</c:v>
                </c:pt>
                <c:pt idx="49">
                  <c:v>1.3343</c:v>
                </c:pt>
                <c:pt idx="50">
                  <c:v>1.31881</c:v>
                </c:pt>
                <c:pt idx="51">
                  <c:v>1.3043300000000002</c:v>
                </c:pt>
                <c:pt idx="52">
                  <c:v>1.2899500000000002</c:v>
                </c:pt>
                <c:pt idx="53">
                  <c:v>1.27732</c:v>
                </c:pt>
                <c:pt idx="54">
                  <c:v>1.2662599999999999</c:v>
                </c:pt>
                <c:pt idx="55">
                  <c:v>1.2553300000000001</c:v>
                </c:pt>
                <c:pt idx="56">
                  <c:v>1.2445999999999999</c:v>
                </c:pt>
                <c:pt idx="57">
                  <c:v>1.2334499999999999</c:v>
                </c:pt>
                <c:pt idx="58">
                  <c:v>1.2244700000000002</c:v>
                </c:pt>
                <c:pt idx="59">
                  <c:v>1.2162000000000002</c:v>
                </c:pt>
                <c:pt idx="60">
                  <c:v>1.2072400000000001</c:v>
                </c:pt>
                <c:pt idx="61">
                  <c:v>1.1989799999999999</c:v>
                </c:pt>
                <c:pt idx="62">
                  <c:v>1.18947</c:v>
                </c:pt>
                <c:pt idx="63">
                  <c:v>1.1814100000000001</c:v>
                </c:pt>
                <c:pt idx="64">
                  <c:v>1.1746799999999999</c:v>
                </c:pt>
                <c:pt idx="65">
                  <c:v>1.1675500000000001</c:v>
                </c:pt>
                <c:pt idx="66">
                  <c:v>1.16039</c:v>
                </c:pt>
                <c:pt idx="67">
                  <c:v>1.1542300000000001</c:v>
                </c:pt>
                <c:pt idx="68">
                  <c:v>1.1475300000000002</c:v>
                </c:pt>
                <c:pt idx="69">
                  <c:v>1.14181</c:v>
                </c:pt>
                <c:pt idx="70">
                  <c:v>1.1287500000000001</c:v>
                </c:pt>
                <c:pt idx="71">
                  <c:v>1.1187800000000001</c:v>
                </c:pt>
                <c:pt idx="72">
                  <c:v>1.1089199999999999</c:v>
                </c:pt>
                <c:pt idx="73">
                  <c:v>1.0989100000000001</c:v>
                </c:pt>
                <c:pt idx="74">
                  <c:v>1.09015</c:v>
                </c:pt>
                <c:pt idx="75">
                  <c:v>1.08179</c:v>
                </c:pt>
                <c:pt idx="76">
                  <c:v>1.07369</c:v>
                </c:pt>
                <c:pt idx="77">
                  <c:v>1.0667500000000001</c:v>
                </c:pt>
                <c:pt idx="78">
                  <c:v>1.0584899999999999</c:v>
                </c:pt>
                <c:pt idx="79">
                  <c:v>1.0515300000000001</c:v>
                </c:pt>
                <c:pt idx="80">
                  <c:v>1.0448299999999999</c:v>
                </c:pt>
                <c:pt idx="81">
                  <c:v>1.03837</c:v>
                </c:pt>
                <c:pt idx="82">
                  <c:v>1.03254</c:v>
                </c:pt>
                <c:pt idx="83">
                  <c:v>1.0271300000000001</c:v>
                </c:pt>
                <c:pt idx="84">
                  <c:v>1.02152</c:v>
                </c:pt>
                <c:pt idx="85">
                  <c:v>1.0168200000000001</c:v>
                </c:pt>
                <c:pt idx="86">
                  <c:v>1.0119799999999999</c:v>
                </c:pt>
                <c:pt idx="87">
                  <c:v>1.00787</c:v>
                </c:pt>
                <c:pt idx="88">
                  <c:v>1.00366</c:v>
                </c:pt>
                <c:pt idx="89">
                  <c:v>1.0005200000000001</c:v>
                </c:pt>
                <c:pt idx="90">
                  <c:v>0.99590000000000001</c:v>
                </c:pt>
                <c:pt idx="91">
                  <c:v>0.99255000000000004</c:v>
                </c:pt>
                <c:pt idx="92">
                  <c:v>0.9887999999999999</c:v>
                </c:pt>
                <c:pt idx="93">
                  <c:v>0.98564000000000007</c:v>
                </c:pt>
                <c:pt idx="94">
                  <c:v>0.98255999999999999</c:v>
                </c:pt>
                <c:pt idx="95">
                  <c:v>0.97923000000000004</c:v>
                </c:pt>
                <c:pt idx="96">
                  <c:v>0.97677999999999998</c:v>
                </c:pt>
                <c:pt idx="97">
                  <c:v>0.97442000000000006</c:v>
                </c:pt>
                <c:pt idx="98">
                  <c:v>0.97171000000000007</c:v>
                </c:pt>
                <c:pt idx="99">
                  <c:v>0.96907999999999994</c:v>
                </c:pt>
                <c:pt idx="100">
                  <c:v>0.95921000000000012</c:v>
                </c:pt>
                <c:pt idx="101">
                  <c:v>0.95299</c:v>
                </c:pt>
                <c:pt idx="102">
                  <c:v>0.94829000000000008</c:v>
                </c:pt>
                <c:pt idx="103">
                  <c:v>0.94489999999999996</c:v>
                </c:pt>
                <c:pt idx="104">
                  <c:v>0.94299999999999995</c:v>
                </c:pt>
                <c:pt idx="105">
                  <c:v>0.94291999999999998</c:v>
                </c:pt>
                <c:pt idx="106">
                  <c:v>0.94360999999999995</c:v>
                </c:pt>
                <c:pt idx="107">
                  <c:v>0.94435999999999998</c:v>
                </c:pt>
                <c:pt idx="108">
                  <c:v>0.94550000000000001</c:v>
                </c:pt>
                <c:pt idx="109">
                  <c:v>0.94760999999999995</c:v>
                </c:pt>
                <c:pt idx="110">
                  <c:v>0.95053999999999994</c:v>
                </c:pt>
                <c:pt idx="111">
                  <c:v>0.95490000000000008</c:v>
                </c:pt>
                <c:pt idx="112">
                  <c:v>0.95951999999999993</c:v>
                </c:pt>
                <c:pt idx="113">
                  <c:v>0.96415000000000006</c:v>
                </c:pt>
                <c:pt idx="114">
                  <c:v>0.96948999999999996</c:v>
                </c:pt>
                <c:pt idx="115">
                  <c:v>0.9750700000000001</c:v>
                </c:pt>
                <c:pt idx="116">
                  <c:v>0.98202</c:v>
                </c:pt>
                <c:pt idx="117">
                  <c:v>0.98851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52-4AB3-A1C8-CA6834CE3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006383"/>
        <c:axId val="795002223"/>
      </c:scatterChart>
      <c:valAx>
        <c:axId val="795006383"/>
        <c:scaling>
          <c:logBase val="2"/>
          <c:orientation val="minMax"/>
          <c:max val="3.0000000000000006E-2"/>
          <c:min val="3.0000000000000008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5002223"/>
        <c:crosses val="autoZero"/>
        <c:crossBetween val="midCat"/>
      </c:valAx>
      <c:valAx>
        <c:axId val="79500222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5006383"/>
        <c:crosses val="max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409015</xdr:colOff>
      <xdr:row>4</xdr:row>
      <xdr:rowOff>96370</xdr:rowOff>
    </xdr:from>
    <xdr:to>
      <xdr:col>30</xdr:col>
      <xdr:colOff>168089</xdr:colOff>
      <xdr:row>37</xdr:row>
      <xdr:rowOff>168089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481851</xdr:colOff>
      <xdr:row>4</xdr:row>
      <xdr:rowOff>123264</xdr:rowOff>
    </xdr:from>
    <xdr:to>
      <xdr:col>22</xdr:col>
      <xdr:colOff>481851</xdr:colOff>
      <xdr:row>27</xdr:row>
      <xdr:rowOff>211789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2"/>
  <sheetViews>
    <sheetView zoomScale="85" zoomScaleNormal="85" workbookViewId="0">
      <pane ySplit="3" topLeftCell="A4" activePane="bottomLeft" state="frozen"/>
      <selection pane="bottomLeft" activeCell="C29" sqref="C29"/>
    </sheetView>
  </sheetViews>
  <sheetFormatPr defaultRowHeight="16.5" x14ac:dyDescent="0.3"/>
  <cols>
    <col min="2" max="2" width="18.75" bestFit="1" customWidth="1"/>
    <col min="3" max="3" width="21.75" bestFit="1" customWidth="1"/>
  </cols>
  <sheetData>
    <row r="2" spans="1:3" x14ac:dyDescent="0.3">
      <c r="A2" s="11" t="s">
        <v>0</v>
      </c>
      <c r="B2" s="11" t="s">
        <v>1</v>
      </c>
      <c r="C2" s="11"/>
    </row>
    <row r="3" spans="1:3" x14ac:dyDescent="0.3">
      <c r="A3" s="11"/>
      <c r="B3" s="1" t="s">
        <v>2</v>
      </c>
      <c r="C3" s="1" t="s">
        <v>3</v>
      </c>
    </row>
    <row r="4" spans="1:3" s="5" customFormat="1" x14ac:dyDescent="0.3">
      <c r="A4" s="4">
        <v>0</v>
      </c>
      <c r="B4" s="4">
        <v>4.5</v>
      </c>
      <c r="C4" s="4">
        <f>8+0.2*0.0042/0.006</f>
        <v>8.14</v>
      </c>
    </row>
    <row r="5" spans="1:3" x14ac:dyDescent="0.3">
      <c r="A5" s="2">
        <v>0.02</v>
      </c>
      <c r="B5" s="2">
        <v>5.01</v>
      </c>
      <c r="C5" s="2">
        <f>9+0.2*0.0003/0.0051</f>
        <v>9.0117647058823529</v>
      </c>
    </row>
    <row r="6" spans="1:3" x14ac:dyDescent="0.3">
      <c r="A6" s="2">
        <v>0.04</v>
      </c>
      <c r="B6" s="2">
        <f>5.4+0.2*0.0072/0.008</f>
        <v>5.58</v>
      </c>
      <c r="C6" s="2">
        <f>10+1*0.0011/0.0205</f>
        <v>10.053658536585365</v>
      </c>
    </row>
    <row r="7" spans="1:3" x14ac:dyDescent="0.3">
      <c r="A7" s="2">
        <v>0.06</v>
      </c>
      <c r="B7" s="2">
        <f>6+0.2*0.0048/0.0071</f>
        <v>6.1352112676056336</v>
      </c>
      <c r="C7" s="2">
        <f>11+1*0.0047/0.0189</f>
        <v>11.248677248677248</v>
      </c>
    </row>
    <row r="8" spans="1:3" x14ac:dyDescent="0.3">
      <c r="A8" s="2">
        <v>0.08</v>
      </c>
      <c r="B8" s="2">
        <f>6.6+0.2*0.0023/0.0065</f>
        <v>6.6707692307692303</v>
      </c>
      <c r="C8" s="2">
        <f>12+1*0.0097/0.0175</f>
        <v>12.554285714285715</v>
      </c>
    </row>
    <row r="9" spans="1:3" s="5" customFormat="1" x14ac:dyDescent="0.3">
      <c r="A9" s="4">
        <v>0.1</v>
      </c>
      <c r="B9" s="4">
        <f>7.2+0.2*0.0005/0.0058</f>
        <v>7.2172413793103454</v>
      </c>
      <c r="C9" s="4">
        <v>14</v>
      </c>
    </row>
    <row r="10" spans="1:3" x14ac:dyDescent="0.3">
      <c r="A10" s="2">
        <v>0.12</v>
      </c>
      <c r="B10" s="2">
        <f>7.6+0.2*0.0042/0.0047</f>
        <v>7.7787234042553184</v>
      </c>
      <c r="C10" s="2">
        <f>15+1*0.0093/0.0145</f>
        <v>15.641379310344828</v>
      </c>
    </row>
    <row r="11" spans="1:3" x14ac:dyDescent="0.3">
      <c r="A11" s="2">
        <v>0.14000000000000001</v>
      </c>
      <c r="B11" s="2">
        <f>8.2+0.2*0.0033/0.0047</f>
        <v>8.3404255319148923</v>
      </c>
      <c r="C11" s="2">
        <f>17+1*0.0049/0.012</f>
        <v>17.408333333333335</v>
      </c>
    </row>
    <row r="12" spans="1:3" x14ac:dyDescent="0.3">
      <c r="A12" s="2">
        <v>0.16</v>
      </c>
      <c r="B12" s="2">
        <f>8.8+0.2*0.0026/0.0048</f>
        <v>8.9083333333333332</v>
      </c>
      <c r="C12" s="2">
        <f>19+1*0.0044/0.0115</f>
        <v>19.382608695652173</v>
      </c>
    </row>
    <row r="13" spans="1:3" x14ac:dyDescent="0.3">
      <c r="A13" s="2">
        <v>0.18</v>
      </c>
      <c r="B13" s="2">
        <f>9.4+0.2*0.0022/0.0047</f>
        <v>9.4936170212765969</v>
      </c>
      <c r="C13" s="2">
        <f>21+1*0.0058/0.0105</f>
        <v>21.552380952380954</v>
      </c>
    </row>
    <row r="14" spans="1:3" s="5" customFormat="1" x14ac:dyDescent="0.3">
      <c r="A14" s="4">
        <v>0.2</v>
      </c>
      <c r="B14" s="4">
        <f>10+1*0.0021/0.0205</f>
        <v>10.102439024390243</v>
      </c>
      <c r="C14" s="4">
        <f>24+1*0.0012/0.0087</f>
        <v>24.137931034482758</v>
      </c>
    </row>
    <row r="15" spans="1:3" x14ac:dyDescent="0.3">
      <c r="A15" s="2">
        <v>0.22</v>
      </c>
      <c r="B15" s="2">
        <f>10+1*0.0142/0.0205</f>
        <v>10.692682926829269</v>
      </c>
      <c r="C15" s="2">
        <f>26+1*0.0074/0.0084</f>
        <v>26.88095238095238</v>
      </c>
    </row>
    <row r="16" spans="1:3" x14ac:dyDescent="0.3">
      <c r="A16" s="2">
        <v>0.24</v>
      </c>
      <c r="B16" s="2">
        <f>11+1*0.0049/0.0189</f>
        <v>11.25925925925926</v>
      </c>
      <c r="C16" s="2">
        <f>30+1*0.0005/0.0067</f>
        <v>30.074626865671643</v>
      </c>
    </row>
    <row r="17" spans="1:3" x14ac:dyDescent="0.3">
      <c r="A17" s="2">
        <v>0.26</v>
      </c>
      <c r="B17" s="2">
        <f>11+1*0.0154/0.0189</f>
        <v>11.814814814814815</v>
      </c>
      <c r="C17" s="2">
        <f>33+1*0.0048/0.0069</f>
        <v>33.695652173913047</v>
      </c>
    </row>
    <row r="18" spans="1:3" x14ac:dyDescent="0.3">
      <c r="A18" s="2">
        <v>0.28000000000000003</v>
      </c>
      <c r="B18" s="2">
        <f>12+1*0.0066/0.0175</f>
        <v>12.377142857142857</v>
      </c>
      <c r="C18" s="2">
        <f>37+1*0.0022/0.0055</f>
        <v>37.4</v>
      </c>
    </row>
    <row r="19" spans="1:3" s="5" customFormat="1" x14ac:dyDescent="0.3">
      <c r="A19" s="4">
        <v>0.3</v>
      </c>
      <c r="B19" s="4">
        <f>12+1*0.0163/0.0175</f>
        <v>12.931428571428571</v>
      </c>
      <c r="C19" s="4">
        <f>41+1*0.0038/0.0055</f>
        <v>41.690909090909088</v>
      </c>
    </row>
    <row r="20" spans="1:3" x14ac:dyDescent="0.3">
      <c r="A20" s="2">
        <v>0.32</v>
      </c>
      <c r="B20" s="2">
        <f>13+1*0.0077/0.016</f>
        <v>13.481249999999999</v>
      </c>
      <c r="C20" s="2">
        <f>46+1*0.0033/0.0051</f>
        <v>46.647058823529413</v>
      </c>
    </row>
    <row r="21" spans="1:3" x14ac:dyDescent="0.3">
      <c r="A21" s="2">
        <v>0.34</v>
      </c>
      <c r="B21" s="2">
        <f>13+1*0.016/0.016</f>
        <v>14</v>
      </c>
      <c r="C21" s="2">
        <f>50+2*0.0073/0.0079</f>
        <v>51.848101265822784</v>
      </c>
    </row>
    <row r="22" spans="1:3" x14ac:dyDescent="0.3">
      <c r="A22" s="2">
        <v>0.36</v>
      </c>
      <c r="B22" s="2">
        <f>14+1*0.0077/0.0143</f>
        <v>14.538461538461538</v>
      </c>
      <c r="C22" s="2">
        <f>56+2*0.0055/0.0084</f>
        <v>57.30952380952381</v>
      </c>
    </row>
    <row r="23" spans="1:3" x14ac:dyDescent="0.3">
      <c r="A23" s="2">
        <v>0.38</v>
      </c>
      <c r="B23" s="2">
        <f>15+1*0.0007/0.0145</f>
        <v>15.048275862068966</v>
      </c>
      <c r="C23" s="2">
        <f>62+2*0.0067/0.0069</f>
        <v>63.94202898550725</v>
      </c>
    </row>
    <row r="24" spans="1:3" s="5" customFormat="1" x14ac:dyDescent="0.3">
      <c r="A24" s="4">
        <v>0.4</v>
      </c>
      <c r="B24" s="4">
        <f>15+1*0.008/0.0145</f>
        <v>15.551724137931034</v>
      </c>
      <c r="C24" s="4">
        <f>70+2*0.0036/0.0061</f>
        <v>71.180327868852459</v>
      </c>
    </row>
    <row r="25" spans="1:3" x14ac:dyDescent="0.3">
      <c r="A25" s="2">
        <v>0.42</v>
      </c>
      <c r="B25" s="2">
        <f>16+1*0.0006/0.0131</f>
        <v>16.045801526717558</v>
      </c>
      <c r="C25" s="2">
        <f>78+2*0.0014/0.0051</f>
        <v>78.549019607843135</v>
      </c>
    </row>
    <row r="26" spans="1:3" x14ac:dyDescent="0.3">
      <c r="A26" s="2">
        <v>0.44</v>
      </c>
      <c r="B26" s="2">
        <f>16+1*0.0073/0.0131</f>
        <v>16.557251908396946</v>
      </c>
      <c r="C26" s="2">
        <f>86+2*0.0018/0.0051</f>
        <v>86.705882352941174</v>
      </c>
    </row>
    <row r="27" spans="1:3" x14ac:dyDescent="0.3">
      <c r="A27" s="2">
        <v>0.46</v>
      </c>
      <c r="B27" s="2">
        <f>17+1*0.0003/0.012</f>
        <v>17.024999999999999</v>
      </c>
      <c r="C27" s="2">
        <f>94+2*0.0041/0.0047</f>
        <v>95.744680851063833</v>
      </c>
    </row>
    <row r="28" spans="1:3" x14ac:dyDescent="0.3">
      <c r="A28" s="2">
        <v>0.48</v>
      </c>
      <c r="B28" s="2">
        <f>17+1*0.0063/0.012</f>
        <v>17.524999999999999</v>
      </c>
      <c r="C28" s="2">
        <f>100+10*0.0112/0.0196</f>
        <v>105.71428571428571</v>
      </c>
    </row>
    <row r="29" spans="1:3" s="5" customFormat="1" x14ac:dyDescent="0.3">
      <c r="A29" s="4">
        <v>0.5</v>
      </c>
      <c r="B29" s="4">
        <f>18+1*0.0002/0.0116</f>
        <v>18.017241379310345</v>
      </c>
      <c r="C29" s="4">
        <f>110+10*0.0122/0.0193</f>
        <v>116.32124352331606</v>
      </c>
    </row>
    <row r="30" spans="1:3" x14ac:dyDescent="0.3">
      <c r="A30" s="2">
        <v>0.52</v>
      </c>
      <c r="B30" s="2">
        <f>18+1*0.0059/0.0116</f>
        <v>18.508620689655171</v>
      </c>
      <c r="C30" s="2">
        <f>120+10*0.013/0.0175</f>
        <v>127.42857142857143</v>
      </c>
    </row>
    <row r="31" spans="1:3" x14ac:dyDescent="0.3">
      <c r="A31" s="2">
        <v>0.54</v>
      </c>
      <c r="B31" s="2">
        <f>18+1*0.0114/0.0116</f>
        <v>18.982758620689655</v>
      </c>
      <c r="C31" s="2">
        <f>130+10*0.0148/0.016</f>
        <v>139.25</v>
      </c>
    </row>
    <row r="32" spans="1:3" x14ac:dyDescent="0.3">
      <c r="A32" s="2">
        <v>0.56000000000000005</v>
      </c>
      <c r="B32" s="2">
        <f>19+1*0.005/0.0115</f>
        <v>19.434782608695652</v>
      </c>
      <c r="C32" s="2">
        <f>150+10*0.0021/0.0142</f>
        <v>151.47887323943661</v>
      </c>
    </row>
    <row r="33" spans="1:3" x14ac:dyDescent="0.3">
      <c r="A33" s="2">
        <v>0.57999999999999996</v>
      </c>
      <c r="B33" s="2">
        <f>19+1*0.01/0.0115</f>
        <v>19.869565217391305</v>
      </c>
      <c r="C33" s="2">
        <f>160+10*0.0059/0.0127</f>
        <v>164.64566929133858</v>
      </c>
    </row>
    <row r="34" spans="1:3" s="5" customFormat="1" x14ac:dyDescent="0.3">
      <c r="A34" s="4">
        <v>0.6</v>
      </c>
      <c r="B34" s="4">
        <f>20+1*0.0032/0.0104</f>
        <v>20.307692307692307</v>
      </c>
      <c r="C34" s="4">
        <f>170+10*0.0108/0.0124</f>
        <v>178.70967741935485</v>
      </c>
    </row>
    <row r="35" spans="1:3" x14ac:dyDescent="0.3">
      <c r="A35" s="2">
        <v>0.62</v>
      </c>
      <c r="B35" s="2">
        <f>20+1*0.0078/0.0104</f>
        <v>20.75</v>
      </c>
      <c r="C35" s="2">
        <f>190+10*0.0045/0.0113</f>
        <v>193.98230088495575</v>
      </c>
    </row>
    <row r="36" spans="1:3" x14ac:dyDescent="0.3">
      <c r="A36" s="2">
        <v>0.64</v>
      </c>
      <c r="B36" s="2">
        <f>21+1*0.0018/0.0105</f>
        <v>21.171428571428571</v>
      </c>
      <c r="C36" s="2">
        <v>210</v>
      </c>
    </row>
    <row r="37" spans="1:3" x14ac:dyDescent="0.3">
      <c r="A37" s="2">
        <v>0.66</v>
      </c>
      <c r="B37" s="2">
        <f>21+1*0.0062/0.0105</f>
        <v>21.590476190476192</v>
      </c>
      <c r="C37" s="2">
        <f>220+10*0.004/0.0091</f>
        <v>224.39560439560441</v>
      </c>
    </row>
    <row r="38" spans="1:3" x14ac:dyDescent="0.3">
      <c r="A38" s="2">
        <v>0.68</v>
      </c>
      <c r="B38" s="2">
        <f>21+1*0.0104/0.0105</f>
        <v>21.990476190476191</v>
      </c>
      <c r="C38" s="2">
        <f>240+10*0.0002/0.0087</f>
        <v>240.22988505747125</v>
      </c>
    </row>
    <row r="39" spans="1:3" s="5" customFormat="1" x14ac:dyDescent="0.3">
      <c r="A39" s="4">
        <v>0.7</v>
      </c>
      <c r="B39" s="4">
        <f>22+1*0.0039/0.0095</f>
        <v>22.410526315789475</v>
      </c>
      <c r="C39" s="4">
        <f>250+10*0.0065/0.0084</f>
        <v>257.73809523809524</v>
      </c>
    </row>
    <row r="40" spans="1:3" x14ac:dyDescent="0.3">
      <c r="A40" s="2">
        <v>0.72</v>
      </c>
      <c r="B40" s="2">
        <f>22+1*0.0076/0.0095</f>
        <v>22.8</v>
      </c>
      <c r="C40" s="2">
        <f>270+10*0.0038/0.0076</f>
        <v>275</v>
      </c>
    </row>
    <row r="41" spans="1:3" x14ac:dyDescent="0.3">
      <c r="A41" s="2">
        <v>0.74</v>
      </c>
      <c r="B41" s="2">
        <f>23+1*0.0016/0.0084</f>
        <v>23.19047619047619</v>
      </c>
      <c r="C41" s="2">
        <f>290+10*0.0013/0.0079</f>
        <v>291.64556962025318</v>
      </c>
    </row>
    <row r="42" spans="1:3" x14ac:dyDescent="0.3">
      <c r="A42" s="2">
        <v>0.75</v>
      </c>
      <c r="B42" s="2">
        <f>23+1*0.0029/0.0084</f>
        <v>23.345238095238095</v>
      </c>
      <c r="C42" s="2">
        <v>300</v>
      </c>
    </row>
  </sheetData>
  <mergeCells count="2">
    <mergeCell ref="B2:C2"/>
    <mergeCell ref="A2:A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Z55"/>
  <sheetViews>
    <sheetView zoomScale="85" zoomScaleNormal="85" workbookViewId="0">
      <pane ySplit="4" topLeftCell="A5" activePane="bottomLeft" state="frozen"/>
      <selection activeCell="V33" sqref="V33"/>
      <selection pane="bottomLeft" activeCell="AF19" sqref="AF19"/>
    </sheetView>
  </sheetViews>
  <sheetFormatPr defaultRowHeight="16.5" outlineLevelCol="1" x14ac:dyDescent="0.3"/>
  <cols>
    <col min="2" max="10" width="9" style="3"/>
    <col min="13" max="20" width="0" hidden="1" customWidth="1" outlineLevel="1"/>
    <col min="21" max="21" width="9" collapsed="1"/>
    <col min="25" max="25" width="9" style="3"/>
  </cols>
  <sheetData>
    <row r="2" spans="1:26" s="3" customFormat="1" x14ac:dyDescent="0.3">
      <c r="A2" s="11" t="s">
        <v>4</v>
      </c>
      <c r="B2" s="11" t="s">
        <v>6</v>
      </c>
      <c r="C2" s="11" t="s">
        <v>7</v>
      </c>
      <c r="D2" s="11"/>
      <c r="E2" s="11"/>
      <c r="F2" s="11"/>
      <c r="G2" s="11"/>
      <c r="H2" s="11"/>
      <c r="I2" s="11"/>
      <c r="J2" s="11"/>
      <c r="M2" s="11" t="s">
        <v>7</v>
      </c>
      <c r="N2" s="11"/>
      <c r="O2" s="11"/>
      <c r="P2" s="11"/>
      <c r="Q2" s="11"/>
      <c r="R2" s="11"/>
      <c r="S2" s="11"/>
      <c r="T2" s="11"/>
    </row>
    <row r="3" spans="1:26" s="3" customFormat="1" x14ac:dyDescent="0.3">
      <c r="A3" s="11"/>
      <c r="B3" s="11"/>
      <c r="C3" s="3">
        <v>0.2</v>
      </c>
      <c r="D3" s="3">
        <v>0.1</v>
      </c>
      <c r="E3" s="3">
        <v>7.0000000000000007E-2</v>
      </c>
      <c r="F3" s="3">
        <v>0.05</v>
      </c>
      <c r="G3" s="3">
        <v>0.03</v>
      </c>
      <c r="H3" s="3">
        <v>0.02</v>
      </c>
      <c r="I3" s="3">
        <v>0.01</v>
      </c>
      <c r="J3" s="3">
        <v>0</v>
      </c>
      <c r="M3" s="3">
        <v>0.2</v>
      </c>
      <c r="N3" s="3">
        <v>0.1</v>
      </c>
      <c r="O3" s="3">
        <v>7.0000000000000007E-2</v>
      </c>
      <c r="P3" s="3">
        <v>0.05</v>
      </c>
      <c r="Q3" s="3">
        <v>0.03</v>
      </c>
      <c r="R3" s="3">
        <v>0.02</v>
      </c>
      <c r="S3" s="3">
        <v>0.01</v>
      </c>
      <c r="T3" s="3">
        <v>0</v>
      </c>
    </row>
    <row r="4" spans="1:26" s="3" customFormat="1" x14ac:dyDescent="0.3">
      <c r="A4" s="11"/>
      <c r="B4" s="11"/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9" t="s">
        <v>14</v>
      </c>
      <c r="J4" s="9" t="s">
        <v>15</v>
      </c>
      <c r="M4" s="9" t="s">
        <v>8</v>
      </c>
      <c r="N4" s="9" t="s">
        <v>9</v>
      </c>
      <c r="O4" s="9" t="s">
        <v>10</v>
      </c>
      <c r="P4" s="9" t="s">
        <v>11</v>
      </c>
      <c r="Q4" s="9" t="s">
        <v>12</v>
      </c>
      <c r="R4" s="9" t="s">
        <v>13</v>
      </c>
      <c r="S4" s="9" t="s">
        <v>14</v>
      </c>
      <c r="T4" s="9" t="s">
        <v>15</v>
      </c>
    </row>
    <row r="5" spans="1:26" s="3" customFormat="1" x14ac:dyDescent="0.3">
      <c r="A5" s="8">
        <v>0</v>
      </c>
      <c r="B5" s="7">
        <f>1.4+0.1*0.5376/0.8057</f>
        <v>1.4667245873153778</v>
      </c>
      <c r="C5" s="7">
        <f>0.6+0.8*M5/6.4457</f>
        <v>0.6625160960019858</v>
      </c>
      <c r="D5" s="7">
        <f t="shared" ref="D5:D52" si="0">0.7+0.8*N5/6.4457</f>
        <v>0.71905146066369818</v>
      </c>
      <c r="E5" s="7">
        <f>0.8+0.9*O5/7.2514</f>
        <v>0.80276774140166041</v>
      </c>
      <c r="F5" s="7">
        <f>0.8+0.7*P5/5.64</f>
        <v>0.87995390070921986</v>
      </c>
      <c r="G5" s="7">
        <f>0.9+0.5*Q5/4.0286</f>
        <v>0.98821923248771282</v>
      </c>
      <c r="H5" s="7">
        <f>1+0.4*R5/3.2229</f>
        <v>1.0577492320580844</v>
      </c>
      <c r="I5" s="7">
        <f>1.1+0.2*S5/1.6114</f>
        <v>1.1576765545488397</v>
      </c>
      <c r="J5" s="7">
        <f>1.2+0.4*T5/3.2229</f>
        <v>1.2847311427596264</v>
      </c>
      <c r="M5" s="3">
        <v>0.50370000000000004</v>
      </c>
      <c r="N5" s="3">
        <v>0.1535</v>
      </c>
      <c r="O5" s="3">
        <v>2.23E-2</v>
      </c>
      <c r="P5" s="3">
        <v>0.64419999999999999</v>
      </c>
      <c r="Q5" s="3">
        <v>0.71079999999999999</v>
      </c>
      <c r="R5" s="3">
        <v>0.46529999999999999</v>
      </c>
      <c r="S5" s="3">
        <v>0.4647</v>
      </c>
      <c r="T5">
        <v>0.68269999999999997</v>
      </c>
    </row>
    <row r="6" spans="1:26" x14ac:dyDescent="0.3">
      <c r="A6">
        <f>A5+0.0004</f>
        <v>4.0000000000000002E-4</v>
      </c>
      <c r="B6" s="7">
        <f>1.4+0.1*0.5888/0.8057</f>
        <v>1.4730793099168424</v>
      </c>
      <c r="C6" s="7">
        <f t="shared" ref="C6:C51" si="1">0.6+0.8*M6/6.4457</f>
        <v>0.67534945777805355</v>
      </c>
      <c r="D6" s="7">
        <f t="shared" si="0"/>
        <v>0.73492560932094264</v>
      </c>
      <c r="E6" s="7">
        <f t="shared" ref="E6:E53" si="2">0.8+0.9*O6/7.2514</f>
        <v>0.81361530187274189</v>
      </c>
      <c r="F6" s="7">
        <f t="shared" ref="F6:F48" si="3">0.8+0.7*P6/5.64</f>
        <v>0.88960992907801417</v>
      </c>
      <c r="G6" s="7">
        <f t="shared" ref="G6:G39" si="4">0.9+0.5*Q6/4.0286</f>
        <v>0.99937695477337041</v>
      </c>
      <c r="H6" s="7">
        <f t="shared" ref="H6:H37" si="5">1+0.4*R6/3.2229</f>
        <v>1.0714635886934127</v>
      </c>
      <c r="I6" s="7">
        <f t="shared" ref="I6:I32" si="6">1.1+0.2*S6/1.6114</f>
        <v>1.1654213727193745</v>
      </c>
      <c r="J6" s="7">
        <f t="shared" ref="J6:J52" si="7">1.2+0.4*T6/3.2229</f>
        <v>1.2847311427596264</v>
      </c>
      <c r="M6">
        <v>0.60709999999999997</v>
      </c>
      <c r="N6">
        <v>0.28139999999999998</v>
      </c>
      <c r="O6" s="3">
        <v>0.10970000000000001</v>
      </c>
      <c r="P6">
        <v>0.72199999999999998</v>
      </c>
      <c r="Q6">
        <v>0.80069999999999997</v>
      </c>
      <c r="R6">
        <v>0.57579999999999998</v>
      </c>
      <c r="S6">
        <v>0.52710000000000001</v>
      </c>
      <c r="T6">
        <v>0.68269999999999997</v>
      </c>
      <c r="Z6" s="3"/>
    </row>
    <row r="7" spans="1:26" x14ac:dyDescent="0.3">
      <c r="A7">
        <f t="shared" ref="A7:A55" si="8">A6+0.0004</f>
        <v>8.0000000000000004E-4</v>
      </c>
      <c r="B7" s="7">
        <f>1.4+0.1*0.6392/0.8057</f>
        <v>1.4793347399776591</v>
      </c>
      <c r="C7" s="7">
        <f t="shared" si="1"/>
        <v>0.68651969530074308</v>
      </c>
      <c r="D7" s="7">
        <f t="shared" si="0"/>
        <v>0.748503653598523</v>
      </c>
      <c r="E7" s="7">
        <f t="shared" si="2"/>
        <v>0.82297349477342308</v>
      </c>
      <c r="F7" s="7">
        <f t="shared" si="3"/>
        <v>0.89890602836879441</v>
      </c>
      <c r="G7" s="7">
        <f t="shared" si="4"/>
        <v>1.0085488755398897</v>
      </c>
      <c r="H7" s="7">
        <f t="shared" si="5"/>
        <v>1.0834403797821837</v>
      </c>
      <c r="I7" s="7">
        <f t="shared" si="6"/>
        <v>1.1733151297008813</v>
      </c>
      <c r="J7" s="7">
        <f t="shared" si="7"/>
        <v>1.2847311427596264</v>
      </c>
      <c r="M7">
        <v>0.69710000000000005</v>
      </c>
      <c r="N7">
        <v>0.39079999999999998</v>
      </c>
      <c r="O7">
        <v>0.18509999999999999</v>
      </c>
      <c r="P7">
        <v>0.79690000000000005</v>
      </c>
      <c r="Q7">
        <v>0.87460000000000004</v>
      </c>
      <c r="R7">
        <v>0.67230000000000001</v>
      </c>
      <c r="S7">
        <v>0.5907</v>
      </c>
      <c r="T7">
        <v>0.68269999999999997</v>
      </c>
      <c r="Z7" s="3"/>
    </row>
    <row r="8" spans="1:26" x14ac:dyDescent="0.3">
      <c r="A8">
        <f t="shared" si="8"/>
        <v>1.2000000000000001E-3</v>
      </c>
      <c r="B8" s="7">
        <f>1.4+0.1*0.6815/0.8057</f>
        <v>1.484584833064416</v>
      </c>
      <c r="C8" s="7">
        <f t="shared" si="1"/>
        <v>0.69692042757186956</v>
      </c>
      <c r="D8" s="7">
        <f t="shared" si="0"/>
        <v>0.75962424562111175</v>
      </c>
      <c r="E8" s="7">
        <f t="shared" si="2"/>
        <v>0.83063132636456416</v>
      </c>
      <c r="F8" s="7">
        <f t="shared" si="3"/>
        <v>0.90862411347517735</v>
      </c>
      <c r="G8" s="7">
        <f t="shared" si="4"/>
        <v>1.0183785930596236</v>
      </c>
      <c r="H8" s="7">
        <f t="shared" si="5"/>
        <v>1.0946600887399547</v>
      </c>
      <c r="I8" s="7">
        <f t="shared" si="6"/>
        <v>1.1794216209507262</v>
      </c>
      <c r="J8" s="7">
        <f t="shared" si="7"/>
        <v>1.2847311427596264</v>
      </c>
      <c r="M8">
        <v>0.78090000000000004</v>
      </c>
      <c r="N8">
        <v>0.48039999999999999</v>
      </c>
      <c r="O8">
        <v>0.24679999999999999</v>
      </c>
      <c r="P8">
        <v>0.87519999999999998</v>
      </c>
      <c r="Q8">
        <v>0.95379999999999998</v>
      </c>
      <c r="R8">
        <v>0.76270000000000004</v>
      </c>
      <c r="S8">
        <v>0.63990000000000002</v>
      </c>
      <c r="T8">
        <v>0.68269999999999997</v>
      </c>
      <c r="Z8" s="3"/>
    </row>
    <row r="9" spans="1:26" x14ac:dyDescent="0.3">
      <c r="A9">
        <f t="shared" si="8"/>
        <v>1.6000000000000001E-3</v>
      </c>
      <c r="B9" s="7">
        <f>1.4+0.1*0.7179/0.8057</f>
        <v>1.4891026436638948</v>
      </c>
      <c r="C9" s="7">
        <f t="shared" si="1"/>
        <v>0.70570768108971871</v>
      </c>
      <c r="D9" s="7">
        <f t="shared" si="0"/>
        <v>0.76996292101711217</v>
      </c>
      <c r="E9" s="7">
        <f t="shared" si="2"/>
        <v>0.83892213917312519</v>
      </c>
      <c r="F9" s="7">
        <f t="shared" si="3"/>
        <v>0.91660460992907811</v>
      </c>
      <c r="G9" s="7">
        <f t="shared" si="4"/>
        <v>1.0274015787122077</v>
      </c>
      <c r="H9" s="7">
        <f t="shared" si="5"/>
        <v>1.1030996928232337</v>
      </c>
      <c r="I9" s="7">
        <f t="shared" si="6"/>
        <v>1.1856894625791239</v>
      </c>
      <c r="J9" s="7">
        <f t="shared" si="7"/>
        <v>1.2847311427596264</v>
      </c>
      <c r="M9">
        <v>0.85170000000000001</v>
      </c>
      <c r="N9">
        <v>0.56369999999999998</v>
      </c>
      <c r="O9">
        <v>0.31359999999999999</v>
      </c>
      <c r="P9">
        <v>0.9395</v>
      </c>
      <c r="Q9">
        <v>1.0265</v>
      </c>
      <c r="R9">
        <v>0.83069999999999999</v>
      </c>
      <c r="S9">
        <v>0.69040000000000001</v>
      </c>
      <c r="T9">
        <v>0.68269999999999997</v>
      </c>
      <c r="Z9" s="3"/>
    </row>
    <row r="10" spans="1:26" x14ac:dyDescent="0.3">
      <c r="A10">
        <f t="shared" si="8"/>
        <v>2E-3</v>
      </c>
      <c r="B10" s="7">
        <f>1.4+0.1*0.7615/0.8057</f>
        <v>1.4945140871292044</v>
      </c>
      <c r="C10" s="7">
        <f t="shared" si="1"/>
        <v>0.71501621235862667</v>
      </c>
      <c r="D10" s="7">
        <f t="shared" si="0"/>
        <v>0.77911010441069239</v>
      </c>
      <c r="E10" s="7">
        <f t="shared" si="2"/>
        <v>0.8474611799100864</v>
      </c>
      <c r="F10" s="7">
        <f t="shared" si="3"/>
        <v>0.92499468085106384</v>
      </c>
      <c r="G10" s="7">
        <f t="shared" si="4"/>
        <v>1.0349476244849327</v>
      </c>
      <c r="H10" s="7">
        <f t="shared" si="5"/>
        <v>1.1110056160600701</v>
      </c>
      <c r="I10" s="7">
        <f t="shared" si="6"/>
        <v>1.190604443341194</v>
      </c>
      <c r="J10" s="7">
        <f t="shared" si="7"/>
        <v>1.2847311427596264</v>
      </c>
      <c r="M10">
        <v>0.92669999999999997</v>
      </c>
      <c r="N10">
        <v>0.63739999999999997</v>
      </c>
      <c r="O10">
        <v>0.38240000000000002</v>
      </c>
      <c r="P10">
        <v>1.0071000000000001</v>
      </c>
      <c r="Q10">
        <v>1.0872999999999999</v>
      </c>
      <c r="R10">
        <v>0.89439999999999997</v>
      </c>
      <c r="S10">
        <v>0.73</v>
      </c>
      <c r="T10">
        <v>0.68269999999999997</v>
      </c>
      <c r="Z10" s="3"/>
    </row>
    <row r="11" spans="1:26" x14ac:dyDescent="0.3">
      <c r="A11">
        <f t="shared" si="8"/>
        <v>2.4000000000000002E-3</v>
      </c>
      <c r="B11" s="7">
        <f>1.4+0.1*0.8032/0.8057</f>
        <v>1.4996897108104752</v>
      </c>
      <c r="C11" s="7">
        <f t="shared" si="1"/>
        <v>0.72353041562592113</v>
      </c>
      <c r="D11" s="7">
        <f t="shared" si="0"/>
        <v>0.78961012768202055</v>
      </c>
      <c r="E11" s="7">
        <f t="shared" si="2"/>
        <v>0.85448603028380732</v>
      </c>
      <c r="F11" s="7">
        <f t="shared" si="3"/>
        <v>0.93267730496453904</v>
      </c>
      <c r="G11" s="7">
        <f t="shared" si="4"/>
        <v>1.0430769994539046</v>
      </c>
      <c r="H11" s="7">
        <f t="shared" si="5"/>
        <v>1.1185019702752179</v>
      </c>
      <c r="I11" s="7">
        <f t="shared" si="6"/>
        <v>1.1955194241032643</v>
      </c>
      <c r="J11" s="7">
        <f t="shared" si="7"/>
        <v>1.2847311427596264</v>
      </c>
      <c r="M11">
        <v>0.99529999999999996</v>
      </c>
      <c r="N11">
        <v>0.72199999999999998</v>
      </c>
      <c r="O11">
        <v>0.439</v>
      </c>
      <c r="P11">
        <v>1.069</v>
      </c>
      <c r="Q11">
        <v>1.1528</v>
      </c>
      <c r="R11">
        <v>0.95479999999999998</v>
      </c>
      <c r="S11">
        <v>0.76959999999999995</v>
      </c>
      <c r="T11">
        <v>0.68269999999999997</v>
      </c>
      <c r="Z11" s="3"/>
    </row>
    <row r="12" spans="1:26" x14ac:dyDescent="0.3">
      <c r="A12">
        <f t="shared" si="8"/>
        <v>2.8000000000000004E-3</v>
      </c>
      <c r="B12" s="7">
        <f>1.5+0.1*0.0309/0.8057</f>
        <v>1.5038351743825245</v>
      </c>
      <c r="C12" s="7">
        <f t="shared" si="1"/>
        <v>0.73123787951657693</v>
      </c>
      <c r="D12" s="7">
        <f t="shared" si="0"/>
        <v>0.79901794995113018</v>
      </c>
      <c r="E12" s="7">
        <f t="shared" si="2"/>
        <v>0.86192045673938833</v>
      </c>
      <c r="F12" s="7">
        <f t="shared" si="3"/>
        <v>0.93988829787234041</v>
      </c>
      <c r="G12" s="7">
        <f t="shared" si="4"/>
        <v>1.0505485776696619</v>
      </c>
      <c r="H12" s="7">
        <f t="shared" si="5"/>
        <v>1.1256259890161036</v>
      </c>
      <c r="I12" s="7">
        <f t="shared" si="6"/>
        <v>1.1990318977286831</v>
      </c>
      <c r="J12" s="7">
        <f t="shared" si="7"/>
        <v>1.2847311427596264</v>
      </c>
      <c r="M12">
        <v>1.0573999999999999</v>
      </c>
      <c r="N12">
        <v>0.79779999999999995</v>
      </c>
      <c r="O12">
        <v>0.49890000000000001</v>
      </c>
      <c r="P12">
        <v>1.1271</v>
      </c>
      <c r="Q12">
        <v>1.2130000000000001</v>
      </c>
      <c r="R12">
        <v>1.0122</v>
      </c>
      <c r="S12">
        <v>0.79790000000000005</v>
      </c>
      <c r="T12">
        <v>0.68269999999999997</v>
      </c>
      <c r="Z12" s="3"/>
    </row>
    <row r="13" spans="1:26" x14ac:dyDescent="0.3">
      <c r="A13">
        <f t="shared" si="8"/>
        <v>3.2000000000000006E-3</v>
      </c>
      <c r="B13" s="7">
        <f>1.5+0.1*0.0684/0.8057</f>
        <v>1.5084895122253941</v>
      </c>
      <c r="C13" s="7">
        <f t="shared" si="1"/>
        <v>0.73868470453170332</v>
      </c>
      <c r="D13" s="7">
        <f t="shared" si="0"/>
        <v>0.80765626696867676</v>
      </c>
      <c r="E13" s="7">
        <f t="shared" si="2"/>
        <v>0.8695782883305293</v>
      </c>
      <c r="F13" s="7">
        <f t="shared" si="3"/>
        <v>0.94673936170212769</v>
      </c>
      <c r="G13" s="7">
        <f t="shared" si="4"/>
        <v>1.0570893114233233</v>
      </c>
      <c r="H13" s="7">
        <f t="shared" si="5"/>
        <v>1.1313351329547923</v>
      </c>
      <c r="I13" s="7">
        <f t="shared" si="6"/>
        <v>1.2030532456249226</v>
      </c>
      <c r="J13" s="7">
        <f t="shared" si="7"/>
        <v>1.2847311427596264</v>
      </c>
      <c r="M13">
        <v>1.1173999999999999</v>
      </c>
      <c r="N13">
        <v>0.86739999999999995</v>
      </c>
      <c r="O13">
        <v>0.56059999999999999</v>
      </c>
      <c r="P13">
        <v>1.1822999999999999</v>
      </c>
      <c r="Q13">
        <v>1.2657</v>
      </c>
      <c r="R13">
        <v>1.0582</v>
      </c>
      <c r="S13">
        <v>0.83030000000000004</v>
      </c>
      <c r="T13">
        <v>0.68269999999999997</v>
      </c>
      <c r="Z13" s="3"/>
    </row>
    <row r="14" spans="1:26" x14ac:dyDescent="0.3">
      <c r="A14">
        <f t="shared" si="8"/>
        <v>3.6000000000000008E-3</v>
      </c>
      <c r="B14" s="7">
        <f>1.5+0.1*0.1049/0.8057</f>
        <v>1.5130197343924539</v>
      </c>
      <c r="C14" s="7">
        <f t="shared" si="1"/>
        <v>0.7467024527979893</v>
      </c>
      <c r="D14" s="7">
        <f t="shared" si="0"/>
        <v>0.8158725972353662</v>
      </c>
      <c r="E14" s="7">
        <f t="shared" si="2"/>
        <v>0.87681413244339024</v>
      </c>
      <c r="F14" s="7">
        <f t="shared" si="3"/>
        <v>0.95427304964539017</v>
      </c>
      <c r="G14" s="7">
        <f t="shared" si="4"/>
        <v>1.0657771930695528</v>
      </c>
      <c r="H14" s="7">
        <f t="shared" si="5"/>
        <v>1.1372925005429892</v>
      </c>
      <c r="I14" s="7">
        <f t="shared" si="6"/>
        <v>1.205299739357081</v>
      </c>
      <c r="J14" s="7">
        <f t="shared" si="7"/>
        <v>1.2847311427596264</v>
      </c>
      <c r="M14">
        <v>1.1819999999999999</v>
      </c>
      <c r="N14">
        <v>0.93359999999999999</v>
      </c>
      <c r="O14">
        <v>0.61890000000000001</v>
      </c>
      <c r="P14">
        <v>1.2430000000000001</v>
      </c>
      <c r="Q14">
        <v>1.3357000000000001</v>
      </c>
      <c r="R14">
        <v>1.1062000000000001</v>
      </c>
      <c r="S14">
        <v>0.84840000000000004</v>
      </c>
      <c r="T14">
        <v>0.68269999999999997</v>
      </c>
      <c r="Z14" s="3"/>
    </row>
    <row r="15" spans="1:26" x14ac:dyDescent="0.3">
      <c r="A15">
        <f t="shared" si="8"/>
        <v>4.000000000000001E-3</v>
      </c>
      <c r="B15" s="7">
        <f>1.5+0.1*0.1442/0.8057</f>
        <v>1.5178974804517811</v>
      </c>
      <c r="C15" s="7">
        <f t="shared" si="1"/>
        <v>0.75328048156135097</v>
      </c>
      <c r="D15" s="7">
        <f t="shared" si="0"/>
        <v>0.82488325550366903</v>
      </c>
      <c r="E15" s="7">
        <f t="shared" si="2"/>
        <v>0.8853159389910914</v>
      </c>
      <c r="F15" s="7">
        <f t="shared" si="3"/>
        <v>0.96410283687943266</v>
      </c>
      <c r="G15" s="7">
        <f t="shared" si="4"/>
        <v>1.0719828228168595</v>
      </c>
      <c r="H15" s="7">
        <f t="shared" si="5"/>
        <v>1.143001644481678</v>
      </c>
      <c r="I15" s="7">
        <f t="shared" si="6"/>
        <v>1.207844110711183</v>
      </c>
      <c r="J15" s="7">
        <f t="shared" si="7"/>
        <v>1.2847311427596264</v>
      </c>
      <c r="M15">
        <v>1.2350000000000001</v>
      </c>
      <c r="N15">
        <v>1.0062</v>
      </c>
      <c r="O15">
        <v>0.68740000000000001</v>
      </c>
      <c r="P15">
        <v>1.3222</v>
      </c>
      <c r="Q15">
        <v>1.3856999999999999</v>
      </c>
      <c r="R15">
        <v>1.1521999999999999</v>
      </c>
      <c r="S15">
        <v>0.86890000000000001</v>
      </c>
      <c r="T15">
        <v>0.68269999999999997</v>
      </c>
      <c r="Z15" s="3"/>
    </row>
    <row r="16" spans="1:26" x14ac:dyDescent="0.3">
      <c r="A16">
        <f t="shared" si="8"/>
        <v>4.4000000000000011E-3</v>
      </c>
      <c r="B16" s="7">
        <f>1.5+0.1*0.1804/0.8057</f>
        <v>1.5223904679160978</v>
      </c>
      <c r="C16" s="7">
        <f t="shared" si="1"/>
        <v>0.76056595870114962</v>
      </c>
      <c r="D16" s="7">
        <f t="shared" si="0"/>
        <v>0.8328265355198039</v>
      </c>
      <c r="E16" s="7">
        <f t="shared" si="2"/>
        <v>0.8959897399122928</v>
      </c>
      <c r="F16" s="7">
        <f t="shared" si="3"/>
        <v>0.97492553191489362</v>
      </c>
      <c r="G16" s="7">
        <f t="shared" si="4"/>
        <v>1.0797522712604875</v>
      </c>
      <c r="H16" s="7">
        <f t="shared" si="5"/>
        <v>1.1490458903472027</v>
      </c>
      <c r="I16" s="7">
        <f t="shared" si="6"/>
        <v>1.2102271316867321</v>
      </c>
      <c r="J16" s="7">
        <f t="shared" si="7"/>
        <v>1.2847311427596264</v>
      </c>
      <c r="M16">
        <v>1.2937000000000001</v>
      </c>
      <c r="N16">
        <v>1.0702</v>
      </c>
      <c r="O16">
        <v>0.77339999999999998</v>
      </c>
      <c r="P16">
        <v>1.4094</v>
      </c>
      <c r="Q16">
        <v>1.4482999999999999</v>
      </c>
      <c r="R16">
        <v>1.2009000000000001</v>
      </c>
      <c r="S16">
        <v>0.8881</v>
      </c>
      <c r="T16">
        <v>0.68269999999999997</v>
      </c>
      <c r="Z16" s="3"/>
    </row>
    <row r="17" spans="1:26" x14ac:dyDescent="0.3">
      <c r="A17">
        <f t="shared" si="8"/>
        <v>4.8000000000000013E-3</v>
      </c>
      <c r="B17" s="7">
        <f>1.5+0.1*0.2136/0.8057</f>
        <v>1.526511108352985</v>
      </c>
      <c r="C17" s="7">
        <f t="shared" si="1"/>
        <v>0.76941526909412472</v>
      </c>
      <c r="D17" s="7">
        <f t="shared" si="0"/>
        <v>0.84240811703926644</v>
      </c>
      <c r="E17" s="7">
        <f t="shared" si="2"/>
        <v>0.90662630664423427</v>
      </c>
      <c r="F17" s="7">
        <f t="shared" si="3"/>
        <v>0.98526418439716312</v>
      </c>
      <c r="G17" s="7">
        <f t="shared" si="4"/>
        <v>1.0882043389763194</v>
      </c>
      <c r="H17" s="7">
        <f t="shared" si="5"/>
        <v>1.1552018368550063</v>
      </c>
      <c r="I17" s="7">
        <f t="shared" si="6"/>
        <v>1.2138140747176369</v>
      </c>
      <c r="J17" s="7">
        <f t="shared" si="7"/>
        <v>1.2847311427596264</v>
      </c>
      <c r="M17">
        <v>1.365</v>
      </c>
      <c r="N17">
        <v>1.1474</v>
      </c>
      <c r="O17">
        <v>0.85909999999999997</v>
      </c>
      <c r="P17">
        <v>1.4926999999999999</v>
      </c>
      <c r="Q17">
        <v>1.5164</v>
      </c>
      <c r="R17">
        <v>1.2504999999999999</v>
      </c>
      <c r="S17">
        <v>0.91700000000000004</v>
      </c>
      <c r="T17">
        <v>0.68269999999999997</v>
      </c>
      <c r="Z17" s="3"/>
    </row>
    <row r="18" spans="1:26" x14ac:dyDescent="0.3">
      <c r="A18">
        <f t="shared" si="8"/>
        <v>5.2000000000000015E-3</v>
      </c>
      <c r="B18" s="7">
        <f>1.5+0.1*0.2415/0.8057</f>
        <v>1.5299739357080799</v>
      </c>
      <c r="C18" s="7">
        <f t="shared" si="1"/>
        <v>0.77766883348588978</v>
      </c>
      <c r="D18" s="7">
        <f t="shared" si="0"/>
        <v>0.85048792218067848</v>
      </c>
      <c r="E18" s="7">
        <f t="shared" si="2"/>
        <v>0.91831784207187583</v>
      </c>
      <c r="F18" s="7">
        <f t="shared" si="3"/>
        <v>0.99699290780141847</v>
      </c>
      <c r="G18" s="7">
        <f t="shared" si="4"/>
        <v>1.0986049744328055</v>
      </c>
      <c r="H18" s="7">
        <f t="shared" si="5"/>
        <v>1.1610971485308264</v>
      </c>
      <c r="I18" s="7">
        <f t="shared" si="6"/>
        <v>1.2171031401265981</v>
      </c>
      <c r="J18" s="7">
        <f t="shared" si="7"/>
        <v>1.2847311427596264</v>
      </c>
      <c r="M18">
        <v>1.4315</v>
      </c>
      <c r="N18">
        <v>1.2124999999999999</v>
      </c>
      <c r="O18">
        <v>0.95330000000000004</v>
      </c>
      <c r="P18">
        <v>1.5871999999999999</v>
      </c>
      <c r="Q18">
        <v>1.6002000000000001</v>
      </c>
      <c r="R18">
        <v>1.298</v>
      </c>
      <c r="S18">
        <v>0.94350000000000001</v>
      </c>
      <c r="T18">
        <v>0.68269999999999997</v>
      </c>
      <c r="Z18" s="3"/>
    </row>
    <row r="19" spans="1:26" x14ac:dyDescent="0.3">
      <c r="A19">
        <f t="shared" si="8"/>
        <v>5.6000000000000017E-3</v>
      </c>
      <c r="B19" s="7">
        <f>1.5+0.1*0.2711/0.8057</f>
        <v>1.5336477597120517</v>
      </c>
      <c r="C19" s="7">
        <f t="shared" si="1"/>
        <v>0.78732488325550365</v>
      </c>
      <c r="D19" s="7">
        <f t="shared" si="0"/>
        <v>0.85817056332128394</v>
      </c>
      <c r="E19" s="7">
        <f t="shared" si="2"/>
        <v>0.93086576385249753</v>
      </c>
      <c r="F19" s="7">
        <f t="shared" si="3"/>
        <v>1.0090691489361703</v>
      </c>
      <c r="G19" s="7">
        <f t="shared" si="4"/>
        <v>1.1062130765030036</v>
      </c>
      <c r="H19" s="7">
        <f t="shared" si="5"/>
        <v>1.1681094666294332</v>
      </c>
      <c r="I19" s="7">
        <f t="shared" si="6"/>
        <v>1.2217574779694675</v>
      </c>
      <c r="J19" s="7">
        <f t="shared" si="7"/>
        <v>1.2847311427596264</v>
      </c>
      <c r="M19">
        <v>1.5093000000000001</v>
      </c>
      <c r="N19">
        <v>1.2744</v>
      </c>
      <c r="O19">
        <v>1.0544</v>
      </c>
      <c r="P19">
        <v>1.6845000000000001</v>
      </c>
      <c r="Q19">
        <v>1.6615</v>
      </c>
      <c r="R19">
        <v>1.3545</v>
      </c>
      <c r="S19">
        <v>0.98099999999999998</v>
      </c>
      <c r="T19">
        <v>0.68269999999999997</v>
      </c>
      <c r="Z19" s="3"/>
    </row>
    <row r="20" spans="1:26" x14ac:dyDescent="0.3">
      <c r="A20">
        <f t="shared" si="8"/>
        <v>6.0000000000000019E-3</v>
      </c>
      <c r="B20" s="7">
        <f>1.5+0.1*0.2983/0.8057</f>
        <v>1.5370237060940797</v>
      </c>
      <c r="C20" s="7">
        <f t="shared" si="1"/>
        <v>0.79816001365251255</v>
      </c>
      <c r="D20" s="7">
        <f t="shared" si="0"/>
        <v>0.86761561971546919</v>
      </c>
      <c r="E20" s="7">
        <f t="shared" si="2"/>
        <v>0.94328957166891914</v>
      </c>
      <c r="F20" s="7">
        <f t="shared" si="3"/>
        <v>1.0212695035460992</v>
      </c>
      <c r="G20" s="7">
        <f t="shared" si="4"/>
        <v>1.1145658541428785</v>
      </c>
      <c r="H20" s="7">
        <f t="shared" si="5"/>
        <v>1.174910794625958</v>
      </c>
      <c r="I20" s="7">
        <f t="shared" si="6"/>
        <v>1.2249968971081049</v>
      </c>
      <c r="J20" s="7">
        <f t="shared" si="7"/>
        <v>1.2847311427596264</v>
      </c>
      <c r="M20">
        <v>1.5966</v>
      </c>
      <c r="N20">
        <v>1.3505</v>
      </c>
      <c r="O20">
        <v>1.1545000000000001</v>
      </c>
      <c r="P20">
        <v>1.7827999999999999</v>
      </c>
      <c r="Q20">
        <v>1.7287999999999999</v>
      </c>
      <c r="R20">
        <v>1.4093</v>
      </c>
      <c r="S20">
        <v>1.0071000000000001</v>
      </c>
      <c r="T20">
        <v>0.68269999999999997</v>
      </c>
      <c r="Z20" s="3"/>
    </row>
    <row r="21" spans="1:26" x14ac:dyDescent="0.3">
      <c r="A21">
        <f t="shared" si="8"/>
        <v>6.400000000000002E-3</v>
      </c>
      <c r="B21" s="7">
        <f>1.5+0.1*0.3223/0.8057</f>
        <v>1.5400024823135161</v>
      </c>
      <c r="C21" s="7">
        <f t="shared" si="1"/>
        <v>0.81045968630249621</v>
      </c>
      <c r="D21" s="7">
        <f t="shared" si="0"/>
        <v>0.87795429511146961</v>
      </c>
      <c r="E21" s="7">
        <f t="shared" si="2"/>
        <v>0.9539261384008606</v>
      </c>
      <c r="F21" s="7">
        <f t="shared" si="3"/>
        <v>1.0331471631205675</v>
      </c>
      <c r="G21" s="7">
        <f t="shared" si="4"/>
        <v>1.1250037233778485</v>
      </c>
      <c r="H21" s="7">
        <f t="shared" si="5"/>
        <v>1.1817369449874338</v>
      </c>
      <c r="I21" s="7">
        <f t="shared" si="6"/>
        <v>1.2289313640312773</v>
      </c>
      <c r="J21" s="7">
        <f t="shared" si="7"/>
        <v>1.2847311427596264</v>
      </c>
      <c r="M21">
        <v>1.6957</v>
      </c>
      <c r="N21">
        <v>1.4338</v>
      </c>
      <c r="O21">
        <v>1.2402</v>
      </c>
      <c r="P21">
        <v>1.8785000000000001</v>
      </c>
      <c r="Q21">
        <v>1.8129</v>
      </c>
      <c r="R21">
        <v>1.4642999999999999</v>
      </c>
      <c r="S21">
        <v>1.0387999999999999</v>
      </c>
      <c r="T21">
        <v>0.68269999999999997</v>
      </c>
      <c r="Z21" s="3"/>
    </row>
    <row r="22" spans="1:26" x14ac:dyDescent="0.3">
      <c r="A22">
        <f t="shared" si="8"/>
        <v>6.8000000000000022E-3</v>
      </c>
      <c r="B22" s="7">
        <f>1.5+0.1*0.3571/0.8057</f>
        <v>1.5443217078316991</v>
      </c>
      <c r="C22" s="7">
        <f t="shared" si="1"/>
        <v>0.82344198457886653</v>
      </c>
      <c r="D22" s="7">
        <f t="shared" si="0"/>
        <v>0.88895077338380624</v>
      </c>
      <c r="E22" s="7">
        <f t="shared" si="2"/>
        <v>0.9660396613067822</v>
      </c>
      <c r="F22" s="7">
        <f t="shared" si="3"/>
        <v>1.0450744680851063</v>
      </c>
      <c r="G22" s="7">
        <f t="shared" si="4"/>
        <v>1.1347465620811201</v>
      </c>
      <c r="H22" s="7">
        <f t="shared" si="5"/>
        <v>1.1896552794067454</v>
      </c>
      <c r="I22" s="7">
        <f t="shared" si="6"/>
        <v>1.2344917463075586</v>
      </c>
      <c r="J22" s="7">
        <f t="shared" si="7"/>
        <v>1.2847311427596264</v>
      </c>
      <c r="M22">
        <v>1.8003</v>
      </c>
      <c r="N22">
        <v>1.5224</v>
      </c>
      <c r="O22">
        <v>1.3378000000000001</v>
      </c>
      <c r="P22">
        <v>1.9745999999999999</v>
      </c>
      <c r="Q22">
        <v>1.8914</v>
      </c>
      <c r="R22">
        <v>1.5281</v>
      </c>
      <c r="S22">
        <v>1.0835999999999999</v>
      </c>
      <c r="T22">
        <v>0.68269999999999997</v>
      </c>
    </row>
    <row r="23" spans="1:26" x14ac:dyDescent="0.3">
      <c r="A23">
        <f t="shared" si="8"/>
        <v>7.2000000000000024E-3</v>
      </c>
      <c r="B23" s="7">
        <f>1.5+0.1*0.3814/0.8057</f>
        <v>1.5473377187538786</v>
      </c>
      <c r="C23" s="7">
        <f t="shared" si="1"/>
        <v>0.83750407248243008</v>
      </c>
      <c r="D23" s="7">
        <f t="shared" si="0"/>
        <v>0.90053058628232763</v>
      </c>
      <c r="E23" s="7">
        <f t="shared" si="2"/>
        <v>0.9792329757012439</v>
      </c>
      <c r="F23" s="7">
        <f t="shared" si="3"/>
        <v>1.0584663120567377</v>
      </c>
      <c r="G23" s="7">
        <f t="shared" si="4"/>
        <v>1.1443776994489401</v>
      </c>
      <c r="H23" s="7">
        <f t="shared" si="5"/>
        <v>1.1971268112569424</v>
      </c>
      <c r="I23" s="7">
        <f t="shared" si="6"/>
        <v>1.2397170162591535</v>
      </c>
      <c r="J23" s="7">
        <f t="shared" si="7"/>
        <v>1.2847311427596264</v>
      </c>
      <c r="M23">
        <v>1.9136</v>
      </c>
      <c r="N23">
        <v>1.6156999999999999</v>
      </c>
      <c r="O23">
        <v>1.4440999999999999</v>
      </c>
      <c r="P23">
        <v>2.0825</v>
      </c>
      <c r="Q23">
        <v>1.9690000000000001</v>
      </c>
      <c r="R23">
        <v>1.5883</v>
      </c>
      <c r="S23">
        <v>1.1256999999999999</v>
      </c>
      <c r="T23">
        <v>0.68269999999999997</v>
      </c>
    </row>
    <row r="24" spans="1:26" x14ac:dyDescent="0.3">
      <c r="A24">
        <f t="shared" si="8"/>
        <v>7.6000000000000026E-3</v>
      </c>
      <c r="B24" s="7">
        <f>1.5+0.1*0.4066/0.8057</f>
        <v>1.5504654337842869</v>
      </c>
      <c r="C24" s="7">
        <f t="shared" si="1"/>
        <v>0.8525590703880106</v>
      </c>
      <c r="D24" s="7">
        <f t="shared" si="0"/>
        <v>0.91403416230975676</v>
      </c>
      <c r="E24" s="7">
        <f t="shared" si="2"/>
        <v>0.99581460131836619</v>
      </c>
      <c r="F24" s="7">
        <f t="shared" si="3"/>
        <v>1.072168439716312</v>
      </c>
      <c r="G24" s="7">
        <f t="shared" si="4"/>
        <v>1.1551506726902647</v>
      </c>
      <c r="H24" s="7">
        <f t="shared" si="5"/>
        <v>1.2046231654720905</v>
      </c>
      <c r="I24" s="7">
        <f t="shared" si="6"/>
        <v>1.2458483306441606</v>
      </c>
      <c r="J24" s="7">
        <f t="shared" si="7"/>
        <v>1.2847311427596264</v>
      </c>
      <c r="M24">
        <v>2.0348999999999999</v>
      </c>
      <c r="N24">
        <v>1.7244999999999999</v>
      </c>
      <c r="O24">
        <v>1.5777000000000001</v>
      </c>
      <c r="P24">
        <v>2.1928999999999998</v>
      </c>
      <c r="Q24">
        <v>2.0558000000000001</v>
      </c>
      <c r="R24">
        <v>1.6487000000000001</v>
      </c>
      <c r="S24">
        <v>1.1751</v>
      </c>
      <c r="T24">
        <v>0.68269999999999997</v>
      </c>
    </row>
    <row r="25" spans="1:26" x14ac:dyDescent="0.3">
      <c r="A25">
        <f t="shared" si="8"/>
        <v>8.0000000000000019E-3</v>
      </c>
      <c r="B25" s="7">
        <f>1.5+0.1*0.4315/0.8057</f>
        <v>1.5535559141119524</v>
      </c>
      <c r="C25" s="7">
        <f t="shared" si="1"/>
        <v>0.86502009091332199</v>
      </c>
      <c r="D25" s="7">
        <f t="shared" si="0"/>
        <v>0.92827000946367333</v>
      </c>
      <c r="E25" s="7">
        <f t="shared" si="2"/>
        <v>1.0088838017486279</v>
      </c>
      <c r="F25" s="7">
        <f t="shared" si="3"/>
        <v>1.0852624113475178</v>
      </c>
      <c r="G25" s="7">
        <f t="shared" si="4"/>
        <v>1.1659236459315891</v>
      </c>
      <c r="H25" s="7">
        <f t="shared" si="5"/>
        <v>1.2119954078624842</v>
      </c>
      <c r="I25" s="7">
        <f t="shared" si="6"/>
        <v>1.2511356584336601</v>
      </c>
      <c r="J25" s="7">
        <f t="shared" si="7"/>
        <v>1.2847311427596264</v>
      </c>
      <c r="M25">
        <v>2.1353</v>
      </c>
      <c r="N25">
        <v>1.8391999999999999</v>
      </c>
      <c r="O25">
        <v>1.6830000000000001</v>
      </c>
      <c r="P25">
        <v>2.2984</v>
      </c>
      <c r="Q25">
        <v>2.1425999999999998</v>
      </c>
      <c r="R25">
        <v>1.7081</v>
      </c>
      <c r="S25">
        <v>1.2177</v>
      </c>
      <c r="T25">
        <v>0.68269999999999997</v>
      </c>
    </row>
    <row r="26" spans="1:26" x14ac:dyDescent="0.3">
      <c r="A26">
        <f t="shared" si="8"/>
        <v>8.4000000000000012E-3</v>
      </c>
      <c r="B26" s="7">
        <f>1.5+0.1*0.455/0.8057</f>
        <v>1.5564726324934839</v>
      </c>
      <c r="C26" s="7">
        <f t="shared" si="1"/>
        <v>0.87758040243883517</v>
      </c>
      <c r="D26" s="7">
        <f t="shared" si="0"/>
        <v>0.94297748886854793</v>
      </c>
      <c r="E26" s="7">
        <f t="shared" si="2"/>
        <v>1.02483244614833</v>
      </c>
      <c r="F26" s="7">
        <f t="shared" si="3"/>
        <v>1.0999946808510639</v>
      </c>
      <c r="G26" s="7">
        <f t="shared" si="4"/>
        <v>1.1774661172615797</v>
      </c>
      <c r="H26" s="7">
        <f t="shared" si="5"/>
        <v>1.220459834310714</v>
      </c>
      <c r="I26" s="7">
        <f t="shared" si="6"/>
        <v>1.2565719250341318</v>
      </c>
      <c r="J26" s="7">
        <f t="shared" si="7"/>
        <v>1.2847311427596264</v>
      </c>
      <c r="M26">
        <v>2.2364999999999999</v>
      </c>
      <c r="N26">
        <v>1.9577</v>
      </c>
      <c r="O26">
        <v>1.8115000000000001</v>
      </c>
      <c r="P26">
        <v>2.4171</v>
      </c>
      <c r="Q26">
        <v>2.2355999999999998</v>
      </c>
      <c r="R26">
        <v>1.7763</v>
      </c>
      <c r="S26">
        <v>1.2615000000000001</v>
      </c>
      <c r="T26">
        <v>0.68269999999999997</v>
      </c>
    </row>
    <row r="27" spans="1:26" x14ac:dyDescent="0.3">
      <c r="A27">
        <f t="shared" si="8"/>
        <v>8.8000000000000005E-3</v>
      </c>
      <c r="B27" s="7">
        <f>1.5+0.1*0.4884/0.8057</f>
        <v>1.5606180960655331</v>
      </c>
      <c r="C27" s="7">
        <f t="shared" si="1"/>
        <v>0.89197759746807948</v>
      </c>
      <c r="D27" s="7">
        <f t="shared" si="0"/>
        <v>0.95715127914733844</v>
      </c>
      <c r="E27" s="7">
        <f t="shared" si="2"/>
        <v>1.0373803679289517</v>
      </c>
      <c r="F27" s="7">
        <f t="shared" si="3"/>
        <v>1.1138457446808512</v>
      </c>
      <c r="G27" s="7">
        <f t="shared" si="4"/>
        <v>1.1891699349650002</v>
      </c>
      <c r="H27" s="7">
        <f t="shared" si="5"/>
        <v>1.2285519252846815</v>
      </c>
      <c r="I27" s="7">
        <f t="shared" si="6"/>
        <v>1.2630879980141494</v>
      </c>
      <c r="J27" s="7">
        <f t="shared" si="7"/>
        <v>1.2847311427596264</v>
      </c>
      <c r="M27">
        <v>2.3525</v>
      </c>
      <c r="N27">
        <v>2.0718999999999999</v>
      </c>
      <c r="O27">
        <v>1.9126000000000001</v>
      </c>
      <c r="P27">
        <v>2.5287000000000002</v>
      </c>
      <c r="Q27">
        <v>2.3298999999999999</v>
      </c>
      <c r="R27">
        <v>1.8414999999999999</v>
      </c>
      <c r="S27">
        <v>1.3140000000000001</v>
      </c>
      <c r="T27">
        <v>0.68269999999999997</v>
      </c>
    </row>
    <row r="28" spans="1:26" x14ac:dyDescent="0.3">
      <c r="A28">
        <f t="shared" si="8"/>
        <v>9.1999999999999998E-3</v>
      </c>
      <c r="B28" s="7">
        <f>1.5+0.1*0.519/0.8057</f>
        <v>1.5644160357453147</v>
      </c>
      <c r="C28" s="7">
        <f t="shared" si="1"/>
        <v>0.90597762849651708</v>
      </c>
      <c r="D28" s="7">
        <f t="shared" si="0"/>
        <v>0.97163535380175925</v>
      </c>
      <c r="E28" s="7">
        <f t="shared" si="2"/>
        <v>1.0520506384973936</v>
      </c>
      <c r="F28" s="7">
        <f t="shared" si="3"/>
        <v>1.1282429078014184</v>
      </c>
      <c r="G28" s="7">
        <f t="shared" si="4"/>
        <v>1.1999925532443032</v>
      </c>
      <c r="H28" s="7">
        <f t="shared" si="5"/>
        <v>1.2356387104781408</v>
      </c>
      <c r="I28" s="7">
        <f t="shared" si="6"/>
        <v>1.2678664515328286</v>
      </c>
      <c r="J28" s="7">
        <f t="shared" si="7"/>
        <v>1.2847311427596264</v>
      </c>
      <c r="M28">
        <v>2.4653</v>
      </c>
      <c r="N28">
        <v>2.1886000000000001</v>
      </c>
      <c r="O28">
        <v>2.0308000000000002</v>
      </c>
      <c r="P28">
        <v>2.6446999999999998</v>
      </c>
      <c r="Q28">
        <v>2.4171</v>
      </c>
      <c r="R28">
        <v>1.8986000000000001</v>
      </c>
      <c r="S28">
        <v>1.3525</v>
      </c>
      <c r="T28">
        <v>0.68269999999999997</v>
      </c>
    </row>
    <row r="29" spans="1:26" x14ac:dyDescent="0.3">
      <c r="A29">
        <f t="shared" si="8"/>
        <v>9.5999999999999992E-3</v>
      </c>
      <c r="B29" s="7">
        <f>1.5+0.1*0.5532/0.8057</f>
        <v>1.5686607918580118</v>
      </c>
      <c r="C29" s="7">
        <f t="shared" si="1"/>
        <v>0.92026312115053444</v>
      </c>
      <c r="D29" s="7">
        <f t="shared" si="0"/>
        <v>0.98687652233271783</v>
      </c>
      <c r="E29" s="7">
        <f t="shared" si="2"/>
        <v>1.0660879278484154</v>
      </c>
      <c r="F29" s="7">
        <f t="shared" si="3"/>
        <v>1.141709219858156</v>
      </c>
      <c r="G29" s="7">
        <f t="shared" si="4"/>
        <v>1.2123293451819492</v>
      </c>
      <c r="H29" s="7">
        <f t="shared" si="5"/>
        <v>1.2447981631449936</v>
      </c>
      <c r="I29" s="7">
        <f t="shared" si="6"/>
        <v>1.2724214968350505</v>
      </c>
      <c r="J29" s="7">
        <f t="shared" si="7"/>
        <v>1.2847311427596264</v>
      </c>
      <c r="M29">
        <v>2.5804</v>
      </c>
      <c r="N29">
        <v>2.3113999999999999</v>
      </c>
      <c r="O29">
        <v>2.1438999999999999</v>
      </c>
      <c r="P29">
        <v>2.7532000000000001</v>
      </c>
      <c r="Q29">
        <v>2.5165000000000002</v>
      </c>
      <c r="R29">
        <v>1.9723999999999999</v>
      </c>
      <c r="S29">
        <v>1.3892</v>
      </c>
      <c r="T29">
        <v>0.68269999999999997</v>
      </c>
    </row>
    <row r="30" spans="1:26" x14ac:dyDescent="0.3">
      <c r="A30">
        <f t="shared" si="8"/>
        <v>9.9999999999999985E-3</v>
      </c>
      <c r="B30" s="7">
        <f>1.5+0.1*0.5942/0.8057</f>
        <v>1.5737495345662158</v>
      </c>
      <c r="C30" s="7">
        <f t="shared" si="1"/>
        <v>0.93647237693345953</v>
      </c>
      <c r="D30" s="7">
        <f t="shared" si="0"/>
        <v>1.0033340056161473</v>
      </c>
      <c r="E30" s="7">
        <f t="shared" si="2"/>
        <v>1.0818255785089776</v>
      </c>
      <c r="F30" s="7">
        <f t="shared" si="3"/>
        <v>1.1545797872340426</v>
      </c>
      <c r="G30" s="7">
        <f t="shared" si="4"/>
        <v>1.222643101821973</v>
      </c>
      <c r="H30" s="7">
        <f t="shared" si="5"/>
        <v>1.253126066585994</v>
      </c>
      <c r="I30" s="7">
        <f t="shared" si="6"/>
        <v>1.2773861238674447</v>
      </c>
      <c r="J30" s="7">
        <f t="shared" si="7"/>
        <v>1.2847311427596264</v>
      </c>
      <c r="M30">
        <v>2.7109999999999999</v>
      </c>
      <c r="N30">
        <v>2.444</v>
      </c>
      <c r="O30">
        <v>2.2707000000000002</v>
      </c>
      <c r="P30">
        <v>2.8569</v>
      </c>
      <c r="Q30">
        <v>2.5996000000000001</v>
      </c>
      <c r="R30">
        <v>2.0394999999999999</v>
      </c>
      <c r="S30">
        <v>1.4292</v>
      </c>
      <c r="T30">
        <v>0.68269999999999997</v>
      </c>
    </row>
    <row r="31" spans="1:26" x14ac:dyDescent="0.3">
      <c r="A31">
        <f t="shared" si="8"/>
        <v>1.0399999999999998E-2</v>
      </c>
      <c r="B31" s="7">
        <f>1.5+0.1*0.629/0.8057</f>
        <v>1.5780687600843986</v>
      </c>
      <c r="C31" s="7">
        <f t="shared" si="1"/>
        <v>0.95191212746482146</v>
      </c>
      <c r="D31" s="7">
        <f t="shared" si="0"/>
        <v>1.0217524861535596</v>
      </c>
      <c r="E31" s="7">
        <f t="shared" si="2"/>
        <v>1.09916429930772</v>
      </c>
      <c r="F31" s="7">
        <f t="shared" si="3"/>
        <v>1.1694485815602838</v>
      </c>
      <c r="G31" s="7">
        <f t="shared" si="4"/>
        <v>1.2345703221962965</v>
      </c>
      <c r="H31" s="7">
        <f t="shared" si="5"/>
        <v>1.2618263055012566</v>
      </c>
      <c r="I31" s="7">
        <f t="shared" si="6"/>
        <v>1.282946506143726</v>
      </c>
      <c r="J31" s="7">
        <f t="shared" si="7"/>
        <v>1.2862701293865773</v>
      </c>
      <c r="M31">
        <v>2.8353999999999999</v>
      </c>
      <c r="N31">
        <v>2.5924</v>
      </c>
      <c r="O31">
        <v>2.4104000000000001</v>
      </c>
      <c r="P31">
        <v>2.9767000000000001</v>
      </c>
      <c r="Q31">
        <v>2.6957</v>
      </c>
      <c r="R31">
        <v>2.1095999999999999</v>
      </c>
      <c r="S31">
        <v>1.474</v>
      </c>
      <c r="T31">
        <v>0.69510000000000005</v>
      </c>
    </row>
    <row r="32" spans="1:26" x14ac:dyDescent="0.3">
      <c r="A32">
        <f t="shared" si="8"/>
        <v>1.0799999999999997E-2</v>
      </c>
      <c r="B32" s="7">
        <f>1.5+0.1*0.6663/0.8057</f>
        <v>1.5826982747921063</v>
      </c>
      <c r="C32" s="7">
        <f t="shared" si="1"/>
        <v>0.96624726561893981</v>
      </c>
      <c r="D32" s="7">
        <f t="shared" si="0"/>
        <v>1.0386443675628714</v>
      </c>
      <c r="E32" s="7">
        <f t="shared" si="2"/>
        <v>1.114901949968282</v>
      </c>
      <c r="F32" s="7">
        <f t="shared" si="3"/>
        <v>1.1846773049645392</v>
      </c>
      <c r="G32" s="7">
        <f t="shared" si="4"/>
        <v>1.2458893908553841</v>
      </c>
      <c r="H32" s="7">
        <f t="shared" si="5"/>
        <v>1.2716559620217818</v>
      </c>
      <c r="I32" s="7">
        <f t="shared" si="6"/>
        <v>1.2888171776095323</v>
      </c>
      <c r="J32" s="7">
        <f t="shared" si="7"/>
        <v>1.291371125383971</v>
      </c>
      <c r="M32">
        <v>2.9508999999999999</v>
      </c>
      <c r="N32">
        <v>2.7284999999999999</v>
      </c>
      <c r="O32">
        <v>2.5371999999999999</v>
      </c>
      <c r="P32">
        <v>3.0994000000000002</v>
      </c>
      <c r="Q32">
        <v>2.7869000000000002</v>
      </c>
      <c r="R32">
        <v>2.1888000000000001</v>
      </c>
      <c r="S32">
        <v>1.5213000000000001</v>
      </c>
      <c r="T32">
        <v>0.73619999999999997</v>
      </c>
    </row>
    <row r="33" spans="1:20" x14ac:dyDescent="0.3">
      <c r="A33">
        <f t="shared" si="8"/>
        <v>1.1199999999999996E-2</v>
      </c>
      <c r="B33" s="7">
        <f>1.5+0.1*0.713/0.8057</f>
        <v>1.5884944768524265</v>
      </c>
      <c r="C33" s="7">
        <f t="shared" si="1"/>
        <v>0.98073134027336051</v>
      </c>
      <c r="D33" s="7">
        <f t="shared" si="0"/>
        <v>1.0544068138448888</v>
      </c>
      <c r="E33" s="7">
        <f t="shared" si="2"/>
        <v>1.1308505943679843</v>
      </c>
      <c r="F33" s="7">
        <f t="shared" si="3"/>
        <v>1.2000053191489362</v>
      </c>
      <c r="G33" s="7">
        <f t="shared" si="4"/>
        <v>1.2568981780271062</v>
      </c>
      <c r="H33" s="7">
        <f t="shared" si="5"/>
        <v>1.2796611747184212</v>
      </c>
      <c r="I33" s="7"/>
      <c r="J33" s="7">
        <f t="shared" si="7"/>
        <v>1.2984579105774303</v>
      </c>
      <c r="M33">
        <v>3.0676000000000001</v>
      </c>
      <c r="N33">
        <v>2.8555000000000001</v>
      </c>
      <c r="O33">
        <v>2.6657000000000002</v>
      </c>
      <c r="P33">
        <v>3.2229000000000001</v>
      </c>
      <c r="Q33">
        <v>2.8755999999999999</v>
      </c>
      <c r="R33">
        <v>2.2532999999999999</v>
      </c>
      <c r="T33">
        <v>0.79330000000000001</v>
      </c>
    </row>
    <row r="34" spans="1:20" x14ac:dyDescent="0.3">
      <c r="A34">
        <f t="shared" si="8"/>
        <v>1.1599999999999996E-2</v>
      </c>
      <c r="B34" s="7">
        <f>1.5+0.1*0.7603/0.8057</f>
        <v>1.5943651483182326</v>
      </c>
      <c r="C34" s="7">
        <f t="shared" si="1"/>
        <v>0.99593527467924348</v>
      </c>
      <c r="D34" s="7">
        <f t="shared" si="0"/>
        <v>1.0717703275051584</v>
      </c>
      <c r="E34" s="7">
        <f t="shared" si="2"/>
        <v>1.1489215875555066</v>
      </c>
      <c r="F34" s="7">
        <f t="shared" si="3"/>
        <v>1.2151719858156029</v>
      </c>
      <c r="G34" s="7">
        <f t="shared" si="4"/>
        <v>1.2702030482053319</v>
      </c>
      <c r="H34" s="7">
        <f t="shared" si="5"/>
        <v>1.2888206273852743</v>
      </c>
      <c r="I34" s="7"/>
      <c r="J34" s="7">
        <f t="shared" si="7"/>
        <v>1.3035216730273977</v>
      </c>
      <c r="M34">
        <v>3.1901000000000002</v>
      </c>
      <c r="N34">
        <v>2.9954000000000001</v>
      </c>
      <c r="O34">
        <v>2.8113000000000001</v>
      </c>
      <c r="P34">
        <v>3.3451</v>
      </c>
      <c r="Q34">
        <v>2.9828000000000001</v>
      </c>
      <c r="R34">
        <v>2.3271000000000002</v>
      </c>
      <c r="T34">
        <v>0.83409999999999995</v>
      </c>
    </row>
    <row r="35" spans="1:20" x14ac:dyDescent="0.3">
      <c r="A35">
        <f t="shared" si="8"/>
        <v>1.1999999999999995E-2</v>
      </c>
      <c r="B35" s="7">
        <f>1.6+0.1*0.0044/0.8057</f>
        <v>1.6005461089735635</v>
      </c>
      <c r="C35" s="7">
        <f t="shared" si="1"/>
        <v>1.0132243200893618</v>
      </c>
      <c r="D35" s="7">
        <f t="shared" si="0"/>
        <v>1.0908093767938316</v>
      </c>
      <c r="E35" s="7">
        <f t="shared" si="2"/>
        <v>1.167526270789089</v>
      </c>
      <c r="F35" s="7">
        <f t="shared" si="3"/>
        <v>1.2307234042553192</v>
      </c>
      <c r="G35" s="7">
        <f t="shared" si="4"/>
        <v>1.2825770739214617</v>
      </c>
      <c r="H35" s="7">
        <f t="shared" si="5"/>
        <v>1.2998789909708648</v>
      </c>
      <c r="I35" s="7"/>
      <c r="J35" s="7">
        <f t="shared" si="7"/>
        <v>1.3076670079741848</v>
      </c>
      <c r="M35">
        <v>3.3294000000000001</v>
      </c>
      <c r="N35">
        <v>3.1488</v>
      </c>
      <c r="O35">
        <v>2.9611999999999998</v>
      </c>
      <c r="P35">
        <v>3.4704000000000002</v>
      </c>
      <c r="Q35">
        <v>3.0825</v>
      </c>
      <c r="R35">
        <v>2.4161999999999999</v>
      </c>
      <c r="T35">
        <v>0.86750000000000005</v>
      </c>
    </row>
    <row r="36" spans="1:20" x14ac:dyDescent="0.3">
      <c r="A36">
        <f t="shared" si="8"/>
        <v>1.2399999999999994E-2</v>
      </c>
      <c r="B36" s="7">
        <f>1.6+0.1*0.0623/0.8057</f>
        <v>1.6077324066029541</v>
      </c>
      <c r="C36" s="7">
        <f t="shared" si="1"/>
        <v>1.0309601750003878</v>
      </c>
      <c r="D36" s="7">
        <f t="shared" si="0"/>
        <v>1.1102828242083871</v>
      </c>
      <c r="E36" s="7">
        <f t="shared" si="2"/>
        <v>1.1866646440687316</v>
      </c>
      <c r="F36" s="7">
        <f t="shared" si="3"/>
        <v>1.2471932624113475</v>
      </c>
      <c r="G36" s="7">
        <f t="shared" si="4"/>
        <v>1.2954847837958596</v>
      </c>
      <c r="H36" s="7">
        <f t="shared" si="5"/>
        <v>1.3098203481336683</v>
      </c>
      <c r="I36" s="7"/>
      <c r="J36" s="7">
        <f t="shared" si="7"/>
        <v>1.3141456452263489</v>
      </c>
      <c r="M36">
        <v>3.4723000000000002</v>
      </c>
      <c r="N36">
        <v>3.3056999999999999</v>
      </c>
      <c r="O36">
        <v>3.1154000000000002</v>
      </c>
      <c r="P36">
        <v>3.6031</v>
      </c>
      <c r="Q36">
        <v>3.1865000000000001</v>
      </c>
      <c r="R36">
        <v>2.4963000000000002</v>
      </c>
      <c r="T36">
        <v>0.91969999999999996</v>
      </c>
    </row>
    <row r="37" spans="1:20" x14ac:dyDescent="0.3">
      <c r="A37">
        <f t="shared" si="8"/>
        <v>1.2799999999999994E-2</v>
      </c>
      <c r="B37" s="7">
        <f>1.6+0.1*0.1273/0.8057</f>
        <v>1.6157999255305946</v>
      </c>
      <c r="C37" s="7">
        <f t="shared" si="1"/>
        <v>1.0476782971593466</v>
      </c>
      <c r="D37" s="7">
        <f t="shared" si="0"/>
        <v>1.1299052081232448</v>
      </c>
      <c r="E37" s="7">
        <f t="shared" si="2"/>
        <v>1.2079253661361944</v>
      </c>
      <c r="F37" s="7">
        <f t="shared" si="3"/>
        <v>1.2633031914893618</v>
      </c>
      <c r="G37" s="7">
        <f t="shared" si="4"/>
        <v>1.3072382465372585</v>
      </c>
      <c r="H37" s="7">
        <f t="shared" si="5"/>
        <v>1.3192032020850786</v>
      </c>
      <c r="I37" s="7"/>
      <c r="J37" s="7">
        <f t="shared" si="7"/>
        <v>1.3254646436439232</v>
      </c>
      <c r="M37">
        <v>3.6070000000000002</v>
      </c>
      <c r="N37">
        <v>3.4638</v>
      </c>
      <c r="O37">
        <v>3.2867000000000002</v>
      </c>
      <c r="P37">
        <v>3.7328999999999999</v>
      </c>
      <c r="Q37">
        <v>3.2812000000000001</v>
      </c>
      <c r="R37">
        <v>2.5718999999999999</v>
      </c>
      <c r="T37">
        <v>1.0108999999999999</v>
      </c>
    </row>
    <row r="38" spans="1:20" x14ac:dyDescent="0.3">
      <c r="A38">
        <f t="shared" si="8"/>
        <v>1.3199999999999993E-2</v>
      </c>
      <c r="B38" s="7">
        <f>1.6+0.1*0.1918/0.8057</f>
        <v>1.6238053866203301</v>
      </c>
      <c r="C38" s="7">
        <f t="shared" si="1"/>
        <v>1.064619824068759</v>
      </c>
      <c r="D38" s="7">
        <f t="shared" si="0"/>
        <v>1.1493786555378003</v>
      </c>
      <c r="E38" s="7">
        <f t="shared" si="2"/>
        <v>1.227498138290537</v>
      </c>
      <c r="F38" s="7">
        <f t="shared" si="3"/>
        <v>1.2818581560283688</v>
      </c>
      <c r="G38" s="7">
        <f t="shared" si="4"/>
        <v>1.3206299955319465</v>
      </c>
      <c r="H38" s="7"/>
      <c r="I38" s="7"/>
      <c r="J38" s="7">
        <f t="shared" si="7"/>
        <v>1.3350460765149399</v>
      </c>
      <c r="M38">
        <v>3.7435</v>
      </c>
      <c r="N38">
        <v>3.6206999999999998</v>
      </c>
      <c r="O38">
        <v>3.4443999999999999</v>
      </c>
      <c r="P38">
        <v>3.8824000000000001</v>
      </c>
      <c r="Q38">
        <v>3.3891</v>
      </c>
      <c r="T38">
        <v>1.0881000000000001</v>
      </c>
    </row>
    <row r="39" spans="1:20" x14ac:dyDescent="0.3">
      <c r="A39">
        <f t="shared" si="8"/>
        <v>1.3599999999999992E-2</v>
      </c>
      <c r="B39" s="7">
        <f>1.6+0.1*0.2523/0.8057</f>
        <v>1.6313143850068264</v>
      </c>
      <c r="C39" s="7">
        <f t="shared" si="1"/>
        <v>1.0827031974804908</v>
      </c>
      <c r="D39" s="7">
        <f t="shared" si="0"/>
        <v>1.1678591929503388</v>
      </c>
      <c r="E39" s="7">
        <f t="shared" si="2"/>
        <v>1.2467606255343795</v>
      </c>
      <c r="F39" s="7">
        <f t="shared" si="3"/>
        <v>1.300636524822695</v>
      </c>
      <c r="G39" s="7">
        <f t="shared" si="4"/>
        <v>1.3382043389763194</v>
      </c>
      <c r="H39" s="7"/>
      <c r="I39" s="7"/>
      <c r="J39" s="7">
        <f t="shared" si="7"/>
        <v>1.3466381209469731</v>
      </c>
      <c r="M39">
        <v>3.8892000000000002</v>
      </c>
      <c r="N39">
        <v>3.7696000000000001</v>
      </c>
      <c r="O39">
        <v>3.5996000000000001</v>
      </c>
      <c r="P39">
        <v>4.0336999999999996</v>
      </c>
      <c r="Q39">
        <v>3.5306999999999999</v>
      </c>
      <c r="T39">
        <v>1.1815</v>
      </c>
    </row>
    <row r="40" spans="1:20" x14ac:dyDescent="0.3">
      <c r="A40">
        <f t="shared" si="8"/>
        <v>1.3999999999999992E-2</v>
      </c>
      <c r="B40" s="7">
        <f>1.6+0.1*0.32/0.8057</f>
        <v>1.6397170162591537</v>
      </c>
      <c r="C40" s="7">
        <f t="shared" si="1"/>
        <v>1.1008113936422732</v>
      </c>
      <c r="D40" s="7">
        <f t="shared" si="0"/>
        <v>1.1882634934917853</v>
      </c>
      <c r="E40" s="7">
        <f t="shared" si="2"/>
        <v>1.2671773726452824</v>
      </c>
      <c r="F40" s="7">
        <f t="shared" si="3"/>
        <v>1.3187819148936171</v>
      </c>
      <c r="G40" s="7"/>
      <c r="H40" s="7"/>
      <c r="I40" s="7"/>
      <c r="J40" s="7">
        <f t="shared" si="7"/>
        <v>1.3579819417294983</v>
      </c>
      <c r="M40">
        <v>4.0350999999999999</v>
      </c>
      <c r="N40">
        <v>3.9340000000000002</v>
      </c>
      <c r="O40">
        <v>3.7641</v>
      </c>
      <c r="P40">
        <v>4.1798999999999999</v>
      </c>
      <c r="T40">
        <v>1.2728999999999999</v>
      </c>
    </row>
    <row r="41" spans="1:20" x14ac:dyDescent="0.3">
      <c r="A41">
        <f t="shared" si="8"/>
        <v>1.4399999999999991E-2</v>
      </c>
      <c r="B41" s="7">
        <f>1.6+0.1*0.3926/0.8057</f>
        <v>1.6487278143229491</v>
      </c>
      <c r="C41" s="7">
        <f t="shared" si="1"/>
        <v>1.1206820050576352</v>
      </c>
      <c r="D41" s="7">
        <f t="shared" si="0"/>
        <v>1.2095241789099709</v>
      </c>
      <c r="E41" s="7">
        <f t="shared" si="2"/>
        <v>1.2897164685440052</v>
      </c>
      <c r="F41" s="7">
        <f t="shared" si="3"/>
        <v>1.3383546099290782</v>
      </c>
      <c r="G41" s="7"/>
      <c r="H41" s="7"/>
      <c r="I41" s="7"/>
      <c r="J41" s="7">
        <f t="shared" si="7"/>
        <v>1.3708399267740234</v>
      </c>
      <c r="M41">
        <v>4.1951999999999998</v>
      </c>
      <c r="N41">
        <v>4.1052999999999997</v>
      </c>
      <c r="O41">
        <v>3.9457</v>
      </c>
      <c r="P41">
        <v>4.3376000000000001</v>
      </c>
      <c r="T41">
        <v>1.3765000000000001</v>
      </c>
    </row>
    <row r="42" spans="1:20" x14ac:dyDescent="0.3">
      <c r="A42">
        <f t="shared" si="8"/>
        <v>1.479999999999999E-2</v>
      </c>
      <c r="B42" s="7">
        <f>1.6+0.1*0.4687/0.8057</f>
        <v>1.658173017252079</v>
      </c>
      <c r="C42" s="7">
        <f t="shared" si="1"/>
        <v>1.1426129047271825</v>
      </c>
      <c r="D42" s="7">
        <f t="shared" si="0"/>
        <v>1.2324479885815349</v>
      </c>
      <c r="E42" s="7">
        <f t="shared" si="2"/>
        <v>1.3118335769644482</v>
      </c>
      <c r="F42" s="7">
        <f t="shared" si="3"/>
        <v>1.3580017730496454</v>
      </c>
      <c r="G42" s="7"/>
      <c r="H42" s="7"/>
      <c r="I42" s="7"/>
      <c r="J42" s="7">
        <f t="shared" si="7"/>
        <v>1.3839213131031058</v>
      </c>
      <c r="M42">
        <v>4.3719000000000001</v>
      </c>
      <c r="N42">
        <v>4.29</v>
      </c>
      <c r="O42">
        <v>4.1238999999999999</v>
      </c>
      <c r="P42">
        <v>4.4958999999999998</v>
      </c>
      <c r="T42">
        <v>1.4819</v>
      </c>
    </row>
    <row r="43" spans="1:20" x14ac:dyDescent="0.3">
      <c r="A43">
        <f t="shared" si="8"/>
        <v>1.519999999999999E-2</v>
      </c>
      <c r="B43" s="7">
        <f>1.6+0.1*0.5571/0.8057</f>
        <v>1.6691448429936702</v>
      </c>
      <c r="C43" s="7">
        <f t="shared" si="1"/>
        <v>1.1644941588966287</v>
      </c>
      <c r="D43" s="7">
        <f t="shared" si="0"/>
        <v>1.2558186077540063</v>
      </c>
      <c r="E43" s="7">
        <f t="shared" si="2"/>
        <v>1.3338265714206912</v>
      </c>
      <c r="F43" s="7">
        <f t="shared" si="3"/>
        <v>1.3779840425531915</v>
      </c>
      <c r="G43" s="7"/>
      <c r="H43" s="7"/>
      <c r="I43" s="7"/>
      <c r="J43" s="7">
        <f t="shared" si="7"/>
        <v>1.3981072946724999</v>
      </c>
      <c r="M43">
        <v>4.5481999999999996</v>
      </c>
      <c r="N43">
        <v>4.4782999999999999</v>
      </c>
      <c r="O43">
        <v>4.3010999999999999</v>
      </c>
      <c r="P43">
        <v>4.6569000000000003</v>
      </c>
      <c r="T43">
        <v>1.5962000000000001</v>
      </c>
    </row>
    <row r="44" spans="1:20" x14ac:dyDescent="0.3">
      <c r="A44">
        <f t="shared" si="8"/>
        <v>1.5599999999999989E-2</v>
      </c>
      <c r="B44" s="7">
        <f>1.6+0.1*0.6537/0.8057</f>
        <v>1.681134417276902</v>
      </c>
      <c r="C44" s="7">
        <f t="shared" si="1"/>
        <v>1.1884232899452347</v>
      </c>
      <c r="D44" s="7">
        <f t="shared" si="0"/>
        <v>1.2791395814263771</v>
      </c>
      <c r="E44" s="7">
        <f t="shared" si="2"/>
        <v>1.3574330474115341</v>
      </c>
      <c r="F44" s="7">
        <f t="shared" si="3"/>
        <v>1.3976187943262413</v>
      </c>
      <c r="G44" s="7"/>
      <c r="H44" s="7"/>
      <c r="I44" s="7"/>
      <c r="J44" s="7">
        <f t="shared" si="7"/>
        <v>1.4127773123584348</v>
      </c>
      <c r="M44">
        <v>4.7409999999999997</v>
      </c>
      <c r="N44">
        <v>4.6661999999999999</v>
      </c>
      <c r="O44">
        <v>4.4912999999999998</v>
      </c>
      <c r="P44">
        <v>4.8151000000000002</v>
      </c>
      <c r="T44">
        <v>1.7143999999999999</v>
      </c>
    </row>
    <row r="45" spans="1:20" x14ac:dyDescent="0.3">
      <c r="A45">
        <f t="shared" si="8"/>
        <v>1.599999999999999E-2</v>
      </c>
      <c r="B45" s="7">
        <f>1.6+0.1*0.7627/0.8057</f>
        <v>1.6946630259401763</v>
      </c>
      <c r="C45" s="7">
        <f t="shared" si="1"/>
        <v>1.2141644817475217</v>
      </c>
      <c r="D45" s="7">
        <f t="shared" si="0"/>
        <v>1.3039995656018739</v>
      </c>
      <c r="E45" s="7">
        <f t="shared" si="2"/>
        <v>1.3818834983589376</v>
      </c>
      <c r="F45" s="7">
        <f t="shared" si="3"/>
        <v>1.4169060283687944</v>
      </c>
      <c r="G45" s="7"/>
      <c r="H45" s="7"/>
      <c r="I45" s="7"/>
      <c r="J45" s="7">
        <f t="shared" si="7"/>
        <v>1.4292221291383536</v>
      </c>
      <c r="M45">
        <v>4.9484000000000004</v>
      </c>
      <c r="N45">
        <v>4.8665000000000003</v>
      </c>
      <c r="O45">
        <v>4.6882999999999999</v>
      </c>
      <c r="P45">
        <v>4.9705000000000004</v>
      </c>
      <c r="T45">
        <v>1.8469</v>
      </c>
    </row>
    <row r="46" spans="1:20" x14ac:dyDescent="0.3">
      <c r="A46">
        <f t="shared" si="8"/>
        <v>1.6399999999999991E-2</v>
      </c>
      <c r="B46" s="7">
        <f>1.7+0.05*0.0867/0.4029</f>
        <v>1.7107594936708861</v>
      </c>
      <c r="C46" s="7">
        <f t="shared" si="1"/>
        <v>1.2407992925516236</v>
      </c>
      <c r="D46" s="7">
        <f t="shared" si="0"/>
        <v>1.327457064399522</v>
      </c>
      <c r="E46" s="7">
        <f t="shared" si="2"/>
        <v>1.4041247207435805</v>
      </c>
      <c r="F46" s="7">
        <f t="shared" si="3"/>
        <v>1.4373599290780144</v>
      </c>
      <c r="G46" s="7"/>
      <c r="H46" s="7"/>
      <c r="I46" s="7"/>
      <c r="J46" s="7">
        <f t="shared" si="7"/>
        <v>1.4511775109373546</v>
      </c>
      <c r="M46">
        <v>5.1630000000000003</v>
      </c>
      <c r="N46">
        <v>5.0555000000000003</v>
      </c>
      <c r="O46">
        <v>4.8674999999999997</v>
      </c>
      <c r="P46">
        <v>5.1353</v>
      </c>
      <c r="T46">
        <v>2.0238</v>
      </c>
    </row>
    <row r="47" spans="1:20" x14ac:dyDescent="0.3">
      <c r="A47">
        <f t="shared" si="8"/>
        <v>1.6799999999999992E-2</v>
      </c>
      <c r="B47" s="7">
        <f>1.7+0.05*0.2191/0.4029</f>
        <v>1.7271903698188136</v>
      </c>
      <c r="C47" s="7">
        <f t="shared" si="1"/>
        <v>1.2663046682284314</v>
      </c>
      <c r="D47" s="7">
        <f t="shared" si="0"/>
        <v>1.3534216609522627</v>
      </c>
      <c r="E47" s="7">
        <f t="shared" si="2"/>
        <v>1.4264528229031637</v>
      </c>
      <c r="F47" s="7">
        <f t="shared" si="3"/>
        <v>1.4619716312056736</v>
      </c>
      <c r="G47" s="7"/>
      <c r="H47" s="7"/>
      <c r="I47" s="7"/>
      <c r="J47" s="7">
        <f t="shared" si="7"/>
        <v>1.4713456824598963</v>
      </c>
      <c r="M47">
        <v>5.3685</v>
      </c>
      <c r="N47">
        <v>5.2647000000000004</v>
      </c>
      <c r="O47">
        <v>5.0473999999999997</v>
      </c>
      <c r="P47">
        <v>5.3335999999999997</v>
      </c>
      <c r="T47">
        <v>2.1863000000000001</v>
      </c>
    </row>
    <row r="48" spans="1:20" x14ac:dyDescent="0.3">
      <c r="A48">
        <f t="shared" si="8"/>
        <v>1.7199999999999993E-2</v>
      </c>
      <c r="B48" s="7">
        <f>1.7+0.05*0.3697/0.4029</f>
        <v>1.7458798709357159</v>
      </c>
      <c r="C48" s="7">
        <f t="shared" si="1"/>
        <v>1.293870332159424</v>
      </c>
      <c r="D48" s="7">
        <f t="shared" si="0"/>
        <v>1.3806894518826502</v>
      </c>
      <c r="E48" s="7">
        <f t="shared" si="2"/>
        <v>1.453038034034807</v>
      </c>
      <c r="F48" s="7">
        <f t="shared" si="3"/>
        <v>1.4862234042553193</v>
      </c>
      <c r="G48" s="7"/>
      <c r="H48" s="7"/>
      <c r="I48" s="7"/>
      <c r="J48" s="7">
        <f t="shared" si="7"/>
        <v>1.4921964690185856</v>
      </c>
      <c r="M48">
        <v>5.5906000000000002</v>
      </c>
      <c r="N48">
        <v>5.4843999999999999</v>
      </c>
      <c r="O48">
        <v>5.2615999999999996</v>
      </c>
      <c r="P48">
        <v>5.5289999999999999</v>
      </c>
      <c r="T48">
        <v>2.3542999999999998</v>
      </c>
    </row>
    <row r="49" spans="1:20" x14ac:dyDescent="0.3">
      <c r="A49">
        <f t="shared" si="8"/>
        <v>1.7599999999999994E-2</v>
      </c>
      <c r="C49" s="7">
        <f t="shared" si="1"/>
        <v>1.3241044417208372</v>
      </c>
      <c r="D49" s="7">
        <f t="shared" si="0"/>
        <v>1.4077090153125338</v>
      </c>
      <c r="E49" s="7">
        <f t="shared" si="2"/>
        <v>1.4804672201230107</v>
      </c>
      <c r="F49" s="7"/>
      <c r="G49" s="7"/>
      <c r="H49" s="7"/>
      <c r="I49" s="7"/>
      <c r="J49" s="7">
        <f t="shared" si="7"/>
        <v>1.5149709888609637</v>
      </c>
      <c r="M49">
        <v>5.8342000000000001</v>
      </c>
      <c r="N49">
        <v>5.7020999999999997</v>
      </c>
      <c r="O49">
        <v>5.4825999999999997</v>
      </c>
      <c r="T49">
        <v>2.5377999999999998</v>
      </c>
    </row>
    <row r="50" spans="1:20" x14ac:dyDescent="0.3">
      <c r="A50">
        <f t="shared" si="8"/>
        <v>1.7999999999999995E-2</v>
      </c>
      <c r="C50" s="7">
        <f t="shared" si="1"/>
        <v>1.3552694044091409</v>
      </c>
      <c r="D50" s="7">
        <f t="shared" si="0"/>
        <v>1.4346541104922661</v>
      </c>
      <c r="E50" s="7">
        <f t="shared" si="2"/>
        <v>1.5080205201754144</v>
      </c>
      <c r="F50" s="7"/>
      <c r="G50" s="7"/>
      <c r="H50" s="7"/>
      <c r="I50" s="7"/>
      <c r="J50" s="7">
        <f t="shared" si="7"/>
        <v>1.5407986595922927</v>
      </c>
      <c r="M50">
        <v>6.0853000000000002</v>
      </c>
      <c r="N50">
        <v>5.9192</v>
      </c>
      <c r="O50">
        <v>5.7046000000000001</v>
      </c>
      <c r="T50">
        <v>2.7458999999999998</v>
      </c>
    </row>
    <row r="51" spans="1:20" x14ac:dyDescent="0.3">
      <c r="A51">
        <f t="shared" si="8"/>
        <v>1.8399999999999996E-2</v>
      </c>
      <c r="C51" s="7">
        <f t="shared" si="1"/>
        <v>1.3881347254758987</v>
      </c>
      <c r="D51" s="7">
        <f t="shared" si="0"/>
        <v>1.4673829064337465</v>
      </c>
      <c r="E51" s="7">
        <f t="shared" si="2"/>
        <v>1.5399178089748187</v>
      </c>
      <c r="F51" s="7"/>
      <c r="G51" s="7"/>
      <c r="H51" s="7"/>
      <c r="I51" s="7"/>
      <c r="J51" s="7">
        <f t="shared" si="7"/>
        <v>1.5676936920165068</v>
      </c>
      <c r="M51">
        <v>6.3501000000000003</v>
      </c>
      <c r="N51">
        <v>6.1829000000000001</v>
      </c>
      <c r="O51">
        <v>5.9615999999999998</v>
      </c>
      <c r="T51">
        <v>2.9626000000000001</v>
      </c>
    </row>
    <row r="52" spans="1:20" x14ac:dyDescent="0.3">
      <c r="A52">
        <f t="shared" si="8"/>
        <v>1.8799999999999997E-2</v>
      </c>
      <c r="C52" s="7"/>
      <c r="D52" s="7">
        <f t="shared" si="0"/>
        <v>1.4986347487472269</v>
      </c>
      <c r="E52" s="7">
        <f t="shared" si="2"/>
        <v>1.5714675786744627</v>
      </c>
      <c r="F52" s="7"/>
      <c r="G52" s="7"/>
      <c r="H52" s="7"/>
      <c r="I52" s="7"/>
      <c r="J52" s="7">
        <f t="shared" si="7"/>
        <v>1.592404356325049</v>
      </c>
      <c r="N52">
        <v>6.4347000000000003</v>
      </c>
      <c r="O52">
        <v>6.2157999999999998</v>
      </c>
      <c r="T52">
        <v>3.1617000000000002</v>
      </c>
    </row>
    <row r="53" spans="1:20" x14ac:dyDescent="0.3">
      <c r="A53">
        <f t="shared" si="8"/>
        <v>1.9199999999999998E-2</v>
      </c>
      <c r="C53" s="7"/>
      <c r="D53" s="7"/>
      <c r="E53" s="7">
        <f t="shared" si="2"/>
        <v>1.6029056458063271</v>
      </c>
      <c r="F53" s="7"/>
      <c r="G53" s="7"/>
      <c r="H53" s="7"/>
      <c r="I53" s="7"/>
      <c r="J53" s="7"/>
      <c r="O53">
        <v>6.4691000000000001</v>
      </c>
    </row>
    <row r="54" spans="1:20" x14ac:dyDescent="0.3">
      <c r="A54">
        <f t="shared" si="8"/>
        <v>1.9599999999999999E-2</v>
      </c>
      <c r="C54" s="7"/>
      <c r="D54" s="7"/>
      <c r="E54" s="7"/>
      <c r="F54" s="7"/>
      <c r="G54" s="7"/>
      <c r="H54" s="7"/>
      <c r="I54" s="7"/>
      <c r="J54" s="7"/>
    </row>
    <row r="55" spans="1:20" x14ac:dyDescent="0.3">
      <c r="A55">
        <f t="shared" si="8"/>
        <v>0.02</v>
      </c>
      <c r="C55" s="7"/>
      <c r="D55" s="7"/>
      <c r="E55" s="7"/>
      <c r="F55" s="7"/>
      <c r="G55" s="7"/>
      <c r="H55" s="7"/>
      <c r="I55" s="7"/>
      <c r="J55" s="7"/>
    </row>
  </sheetData>
  <mergeCells count="4">
    <mergeCell ref="C2:J2"/>
    <mergeCell ref="B2:B4"/>
    <mergeCell ref="A2:A4"/>
    <mergeCell ref="M2:T2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L123"/>
  <sheetViews>
    <sheetView tabSelected="1" zoomScale="85" zoomScaleNormal="85" workbookViewId="0">
      <pane ySplit="3" topLeftCell="A4" activePane="bottomLeft" state="frozen"/>
      <selection activeCell="V33" sqref="V33"/>
      <selection pane="bottomLeft" activeCell="G6" sqref="G6"/>
    </sheetView>
  </sheetViews>
  <sheetFormatPr defaultRowHeight="16.5" outlineLevelCol="1" x14ac:dyDescent="0.3"/>
  <cols>
    <col min="8" max="11" width="9" hidden="1" customWidth="1" outlineLevel="1"/>
    <col min="12" max="12" width="9" collapsed="1"/>
  </cols>
  <sheetData>
    <row r="2" spans="1:11" x14ac:dyDescent="0.3">
      <c r="A2" s="11" t="s">
        <v>16</v>
      </c>
      <c r="B2" s="11" t="s">
        <v>5</v>
      </c>
      <c r="C2" s="11"/>
      <c r="D2" s="11"/>
      <c r="E2" s="11"/>
      <c r="H2" s="11" t="s">
        <v>5</v>
      </c>
      <c r="I2" s="11"/>
      <c r="J2" s="11"/>
      <c r="K2" s="11"/>
    </row>
    <row r="3" spans="1:11" x14ac:dyDescent="0.3">
      <c r="A3" s="11"/>
      <c r="B3" s="3">
        <v>0.02</v>
      </c>
      <c r="C3" s="3">
        <v>3.3000000000000002E-2</v>
      </c>
      <c r="D3" s="3">
        <v>0.05</v>
      </c>
      <c r="E3" s="3">
        <v>0.1</v>
      </c>
      <c r="H3">
        <v>0.02</v>
      </c>
      <c r="I3">
        <v>3.3000000000000002E-2</v>
      </c>
      <c r="J3">
        <v>0.05</v>
      </c>
      <c r="K3">
        <v>0.1</v>
      </c>
    </row>
    <row r="4" spans="1:11" x14ac:dyDescent="0.3">
      <c r="A4">
        <v>3.1E-4</v>
      </c>
      <c r="B4" s="6">
        <f>0.5+2.5*H4/25</f>
        <v>2.2303799999999998</v>
      </c>
      <c r="C4" s="6">
        <f>0.5+2.5*I4/25</f>
        <v>2.4428000000000001</v>
      </c>
      <c r="D4" s="6">
        <f>0.5+2.5*J4/25</f>
        <v>2.5988500000000001</v>
      </c>
      <c r="E4" s="10">
        <f>0.5+2.5*K4/25</f>
        <v>2.7254100000000001</v>
      </c>
      <c r="H4">
        <v>17.303799999999999</v>
      </c>
      <c r="I4">
        <v>19.428000000000001</v>
      </c>
      <c r="J4">
        <v>20.988499999999998</v>
      </c>
      <c r="K4">
        <v>22.254100000000001</v>
      </c>
    </row>
    <row r="5" spans="1:11" x14ac:dyDescent="0.3">
      <c r="A5">
        <f>A4+0.00001</f>
        <v>3.2000000000000003E-4</v>
      </c>
      <c r="B5" s="6">
        <f t="shared" ref="B5:B68" si="0">0.5+2.5*H5/25</f>
        <v>2.2128100000000002</v>
      </c>
      <c r="C5" s="6">
        <f t="shared" ref="C5:C68" si="1">0.5+2.5*I5/25</f>
        <v>2.4238499999999998</v>
      </c>
      <c r="D5" s="6">
        <f t="shared" ref="D5:D68" si="2">0.5+2.5*J5/25</f>
        <v>2.5778799999999999</v>
      </c>
      <c r="E5" s="10">
        <f t="shared" ref="E5:E68" si="3">0.5+2.5*K5/25</f>
        <v>2.7030699999999999</v>
      </c>
      <c r="H5">
        <v>17.1281</v>
      </c>
      <c r="I5">
        <v>19.238499999999998</v>
      </c>
      <c r="J5">
        <v>20.7788</v>
      </c>
      <c r="K5">
        <v>22.0307</v>
      </c>
    </row>
    <row r="6" spans="1:11" x14ac:dyDescent="0.3">
      <c r="A6">
        <f>A5+0.00001</f>
        <v>3.3000000000000005E-4</v>
      </c>
      <c r="B6" s="6">
        <f t="shared" si="0"/>
        <v>2.1928700000000001</v>
      </c>
      <c r="C6" s="6">
        <f t="shared" si="1"/>
        <v>2.4019599999999999</v>
      </c>
      <c r="D6" s="6">
        <f t="shared" si="2"/>
        <v>2.55376</v>
      </c>
      <c r="E6" s="10">
        <f t="shared" si="3"/>
        <v>2.67753</v>
      </c>
      <c r="H6">
        <v>16.928699999999999</v>
      </c>
      <c r="I6">
        <v>19.019600000000001</v>
      </c>
      <c r="J6">
        <v>20.537600000000001</v>
      </c>
      <c r="K6">
        <v>21.775300000000001</v>
      </c>
    </row>
    <row r="7" spans="1:11" x14ac:dyDescent="0.3">
      <c r="A7">
        <f>A6+0.00001</f>
        <v>3.4000000000000008E-4</v>
      </c>
      <c r="B7" s="6">
        <f t="shared" si="0"/>
        <v>2.1759899999999996</v>
      </c>
      <c r="C7" s="6">
        <f t="shared" si="1"/>
        <v>2.3827400000000001</v>
      </c>
      <c r="D7" s="6">
        <f t="shared" si="2"/>
        <v>2.53267</v>
      </c>
      <c r="E7" s="10">
        <f t="shared" si="3"/>
        <v>2.6556700000000002</v>
      </c>
      <c r="H7">
        <v>16.759899999999998</v>
      </c>
      <c r="I7">
        <v>18.827400000000001</v>
      </c>
      <c r="J7">
        <v>20.326699999999999</v>
      </c>
      <c r="K7">
        <v>21.556699999999999</v>
      </c>
    </row>
    <row r="8" spans="1:11" x14ac:dyDescent="0.3">
      <c r="A8">
        <f>A7+0.00001</f>
        <v>3.500000000000001E-4</v>
      </c>
      <c r="B8" s="6">
        <f t="shared" si="0"/>
        <v>2.1584900000000005</v>
      </c>
      <c r="C8" s="6">
        <f t="shared" si="1"/>
        <v>2.36205</v>
      </c>
      <c r="D8" s="6">
        <f t="shared" si="2"/>
        <v>2.50997</v>
      </c>
      <c r="E8" s="10">
        <f t="shared" si="3"/>
        <v>2.6326400000000003</v>
      </c>
      <c r="H8">
        <v>16.584900000000001</v>
      </c>
      <c r="I8">
        <v>18.6205</v>
      </c>
      <c r="J8">
        <v>20.099699999999999</v>
      </c>
      <c r="K8">
        <v>21.3264</v>
      </c>
    </row>
    <row r="9" spans="1:11" x14ac:dyDescent="0.3">
      <c r="A9">
        <f>A8+0.00001</f>
        <v>3.6000000000000013E-4</v>
      </c>
      <c r="B9" s="6">
        <f t="shared" si="0"/>
        <v>2.1433</v>
      </c>
      <c r="C9" s="6">
        <f t="shared" si="1"/>
        <v>2.3436399999999997</v>
      </c>
      <c r="D9" s="6">
        <f t="shared" si="2"/>
        <v>2.4897900000000002</v>
      </c>
      <c r="E9" s="10">
        <f t="shared" si="3"/>
        <v>2.6121500000000002</v>
      </c>
      <c r="H9">
        <v>16.433</v>
      </c>
      <c r="I9">
        <v>18.436399999999999</v>
      </c>
      <c r="J9">
        <v>19.8979</v>
      </c>
      <c r="K9">
        <v>21.121500000000001</v>
      </c>
    </row>
    <row r="10" spans="1:11" x14ac:dyDescent="0.3">
      <c r="A10">
        <f>A9+0.00001</f>
        <v>3.7000000000000016E-4</v>
      </c>
      <c r="B10" s="6">
        <f t="shared" si="0"/>
        <v>2.1291500000000001</v>
      </c>
      <c r="C10" s="6">
        <f t="shared" si="1"/>
        <v>2.3262900000000002</v>
      </c>
      <c r="D10" s="6">
        <f t="shared" si="2"/>
        <v>2.4707599999999998</v>
      </c>
      <c r="E10" s="10">
        <f t="shared" si="3"/>
        <v>2.59253</v>
      </c>
      <c r="H10">
        <v>16.291499999999999</v>
      </c>
      <c r="I10">
        <v>18.262899999999998</v>
      </c>
      <c r="J10">
        <v>19.707599999999999</v>
      </c>
      <c r="K10">
        <v>20.9253</v>
      </c>
    </row>
    <row r="11" spans="1:11" x14ac:dyDescent="0.3">
      <c r="A11">
        <f>A10+0.00001</f>
        <v>3.8000000000000018E-4</v>
      </c>
      <c r="B11" s="6">
        <f t="shared" si="0"/>
        <v>2.1158299999999999</v>
      </c>
      <c r="C11" s="6">
        <f t="shared" si="1"/>
        <v>2.31006</v>
      </c>
      <c r="D11" s="6">
        <f t="shared" si="2"/>
        <v>2.4527999999999999</v>
      </c>
      <c r="E11" s="10">
        <f t="shared" si="3"/>
        <v>2.5739299999999998</v>
      </c>
      <c r="H11">
        <v>16.158300000000001</v>
      </c>
      <c r="I11">
        <v>18.1006</v>
      </c>
      <c r="J11">
        <v>19.527999999999999</v>
      </c>
      <c r="K11">
        <v>20.7393</v>
      </c>
    </row>
    <row r="12" spans="1:11" x14ac:dyDescent="0.3">
      <c r="A12">
        <f>A11+0.00001</f>
        <v>3.9000000000000021E-4</v>
      </c>
      <c r="B12" s="6">
        <f t="shared" si="0"/>
        <v>2.1020300000000001</v>
      </c>
      <c r="C12" s="6">
        <f t="shared" si="1"/>
        <v>2.2934700000000001</v>
      </c>
      <c r="D12" s="6">
        <f t="shared" si="2"/>
        <v>2.4344299999999999</v>
      </c>
      <c r="E12" s="10">
        <f t="shared" si="3"/>
        <v>2.5550600000000001</v>
      </c>
      <c r="H12">
        <v>16.020299999999999</v>
      </c>
      <c r="I12">
        <v>17.934699999999999</v>
      </c>
      <c r="J12">
        <v>19.3443</v>
      </c>
      <c r="K12">
        <v>20.550599999999999</v>
      </c>
    </row>
    <row r="13" spans="1:11" s="5" customFormat="1" x14ac:dyDescent="0.3">
      <c r="A13" s="5">
        <f>A12+0.00001</f>
        <v>4.0000000000000024E-4</v>
      </c>
      <c r="B13" s="6">
        <f t="shared" si="0"/>
        <v>2.0879400000000001</v>
      </c>
      <c r="C13" s="6">
        <f t="shared" si="1"/>
        <v>2.2768699999999997</v>
      </c>
      <c r="D13" s="6">
        <f t="shared" si="2"/>
        <v>2.4161799999999998</v>
      </c>
      <c r="E13" s="10">
        <f t="shared" si="3"/>
        <v>2.5367000000000002</v>
      </c>
      <c r="H13" s="5">
        <v>15.8794</v>
      </c>
      <c r="I13" s="5">
        <v>17.768699999999999</v>
      </c>
      <c r="J13" s="5">
        <v>19.161799999999999</v>
      </c>
      <c r="K13" s="5">
        <v>20.367000000000001</v>
      </c>
    </row>
    <row r="14" spans="1:11" x14ac:dyDescent="0.3">
      <c r="A14">
        <f t="shared" ref="A6:A43" si="4">A13+0.00002</f>
        <v>4.2000000000000023E-4</v>
      </c>
      <c r="B14" s="6">
        <f t="shared" si="0"/>
        <v>2.0604800000000001</v>
      </c>
      <c r="C14" s="6">
        <f t="shared" si="1"/>
        <v>2.2448399999999999</v>
      </c>
      <c r="D14" s="6">
        <f t="shared" si="2"/>
        <v>2.3816800000000002</v>
      </c>
      <c r="E14" s="10">
        <f t="shared" si="3"/>
        <v>2.5031599999999998</v>
      </c>
      <c r="H14">
        <v>15.604799999999999</v>
      </c>
      <c r="I14">
        <v>17.448399999999999</v>
      </c>
      <c r="J14">
        <v>18.816800000000001</v>
      </c>
      <c r="K14">
        <v>20.031600000000001</v>
      </c>
    </row>
    <row r="15" spans="1:11" x14ac:dyDescent="0.3">
      <c r="A15">
        <f t="shared" si="4"/>
        <v>4.4000000000000023E-4</v>
      </c>
      <c r="B15" s="6">
        <f t="shared" si="0"/>
        <v>2.0343900000000001</v>
      </c>
      <c r="C15" s="6">
        <f t="shared" si="1"/>
        <v>2.2140899999999997</v>
      </c>
      <c r="D15" s="6">
        <f t="shared" si="2"/>
        <v>2.3486799999999999</v>
      </c>
      <c r="E15" s="10">
        <f t="shared" si="3"/>
        <v>2.4720500000000003</v>
      </c>
      <c r="H15">
        <v>15.3439</v>
      </c>
      <c r="I15">
        <v>17.140899999999998</v>
      </c>
      <c r="J15">
        <v>18.486799999999999</v>
      </c>
      <c r="K15">
        <v>19.720500000000001</v>
      </c>
    </row>
    <row r="16" spans="1:11" x14ac:dyDescent="0.3">
      <c r="A16">
        <f t="shared" si="4"/>
        <v>4.6000000000000023E-4</v>
      </c>
      <c r="B16" s="6">
        <f t="shared" si="0"/>
        <v>2.0106999999999999</v>
      </c>
      <c r="C16" s="6">
        <f t="shared" si="1"/>
        <v>2.1860200000000001</v>
      </c>
      <c r="D16" s="6">
        <f t="shared" si="2"/>
        <v>2.31785</v>
      </c>
      <c r="E16" s="10">
        <f t="shared" si="3"/>
        <v>2.4431500000000002</v>
      </c>
      <c r="H16">
        <v>15.106999999999999</v>
      </c>
      <c r="I16">
        <v>16.860199999999999</v>
      </c>
      <c r="J16">
        <v>18.1785</v>
      </c>
      <c r="K16">
        <v>19.4315</v>
      </c>
    </row>
    <row r="17" spans="1:11" x14ac:dyDescent="0.3">
      <c r="A17">
        <f t="shared" si="4"/>
        <v>4.8000000000000023E-4</v>
      </c>
      <c r="B17" s="6">
        <f t="shared" si="0"/>
        <v>1.9867000000000001</v>
      </c>
      <c r="C17" s="6">
        <f t="shared" si="1"/>
        <v>2.1579699999999997</v>
      </c>
      <c r="D17" s="6">
        <f t="shared" si="2"/>
        <v>2.2863299999999995</v>
      </c>
      <c r="E17" s="10">
        <f t="shared" si="3"/>
        <v>2.41351</v>
      </c>
      <c r="H17">
        <v>14.867000000000001</v>
      </c>
      <c r="I17">
        <v>16.579699999999999</v>
      </c>
      <c r="J17">
        <v>17.863299999999999</v>
      </c>
      <c r="K17">
        <v>19.135100000000001</v>
      </c>
    </row>
    <row r="18" spans="1:11" x14ac:dyDescent="0.3">
      <c r="A18">
        <f t="shared" si="4"/>
        <v>5.0000000000000023E-4</v>
      </c>
      <c r="B18" s="6">
        <f t="shared" si="0"/>
        <v>1.96452</v>
      </c>
      <c r="C18" s="6">
        <f t="shared" si="1"/>
        <v>2.13232</v>
      </c>
      <c r="D18" s="6">
        <f t="shared" si="2"/>
        <v>2.2575399999999997</v>
      </c>
      <c r="E18" s="10">
        <f t="shared" si="3"/>
        <v>2.3862800000000002</v>
      </c>
      <c r="H18">
        <v>14.645200000000001</v>
      </c>
      <c r="I18">
        <v>16.3232</v>
      </c>
      <c r="J18">
        <v>17.575399999999998</v>
      </c>
      <c r="K18">
        <v>18.8628</v>
      </c>
    </row>
    <row r="19" spans="1:11" x14ac:dyDescent="0.3">
      <c r="A19">
        <f t="shared" si="4"/>
        <v>5.2000000000000028E-4</v>
      </c>
      <c r="B19" s="6">
        <f t="shared" si="0"/>
        <v>1.9438900000000001</v>
      </c>
      <c r="C19" s="6">
        <f t="shared" si="1"/>
        <v>2.1086799999999997</v>
      </c>
      <c r="D19" s="6">
        <f t="shared" si="2"/>
        <v>2.2313000000000001</v>
      </c>
      <c r="E19" s="10">
        <f t="shared" si="3"/>
        <v>2.3613</v>
      </c>
      <c r="H19">
        <v>14.4389</v>
      </c>
      <c r="I19">
        <v>16.0868</v>
      </c>
      <c r="J19">
        <v>17.312999999999999</v>
      </c>
      <c r="K19">
        <v>18.613</v>
      </c>
    </row>
    <row r="20" spans="1:11" x14ac:dyDescent="0.3">
      <c r="A20">
        <f t="shared" si="4"/>
        <v>5.4000000000000033E-4</v>
      </c>
      <c r="B20" s="6">
        <f t="shared" si="0"/>
        <v>1.92286</v>
      </c>
      <c r="C20" s="6">
        <f t="shared" si="1"/>
        <v>2.0848199999999997</v>
      </c>
      <c r="D20" s="6">
        <f t="shared" si="2"/>
        <v>2.2051999999999996</v>
      </c>
      <c r="E20" s="10">
        <f t="shared" si="3"/>
        <v>2.3362600000000002</v>
      </c>
      <c r="H20">
        <v>14.2286</v>
      </c>
      <c r="I20">
        <v>15.8482</v>
      </c>
      <c r="J20">
        <v>17.052</v>
      </c>
      <c r="K20">
        <v>18.3626</v>
      </c>
    </row>
    <row r="21" spans="1:11" x14ac:dyDescent="0.3">
      <c r="A21">
        <f t="shared" si="4"/>
        <v>5.6000000000000038E-4</v>
      </c>
      <c r="B21" s="6">
        <f t="shared" si="0"/>
        <v>1.9044399999999999</v>
      </c>
      <c r="C21" s="6">
        <f t="shared" si="1"/>
        <v>2.06426</v>
      </c>
      <c r="D21" s="6">
        <f t="shared" si="2"/>
        <v>2.1829200000000002</v>
      </c>
      <c r="E21" s="10">
        <f t="shared" si="3"/>
        <v>2.31473</v>
      </c>
      <c r="H21">
        <v>14.0444</v>
      </c>
      <c r="I21">
        <v>15.6426</v>
      </c>
      <c r="J21">
        <v>16.8292</v>
      </c>
      <c r="K21">
        <v>18.147300000000001</v>
      </c>
    </row>
    <row r="22" spans="1:11" x14ac:dyDescent="0.3">
      <c r="A22">
        <f t="shared" si="4"/>
        <v>5.8000000000000044E-4</v>
      </c>
      <c r="B22" s="6">
        <f t="shared" si="0"/>
        <v>1.8837300000000001</v>
      </c>
      <c r="C22" s="6">
        <f t="shared" si="1"/>
        <v>2.0413100000000002</v>
      </c>
      <c r="D22" s="6">
        <f t="shared" si="2"/>
        <v>2.15808</v>
      </c>
      <c r="E22" s="10">
        <f t="shared" si="3"/>
        <v>2.29047</v>
      </c>
      <c r="H22">
        <v>13.837300000000001</v>
      </c>
      <c r="I22">
        <v>15.4131</v>
      </c>
      <c r="J22">
        <v>16.5808</v>
      </c>
      <c r="K22">
        <v>17.904699999999998</v>
      </c>
    </row>
    <row r="23" spans="1:11" x14ac:dyDescent="0.3">
      <c r="A23">
        <f t="shared" si="4"/>
        <v>6.0000000000000049E-4</v>
      </c>
      <c r="B23" s="6">
        <f t="shared" si="0"/>
        <v>1.8660999999999999</v>
      </c>
      <c r="C23" s="6">
        <f t="shared" si="1"/>
        <v>2.0213700000000001</v>
      </c>
      <c r="D23" s="6">
        <f t="shared" si="2"/>
        <v>2.1364299999999998</v>
      </c>
      <c r="E23" s="10">
        <f t="shared" si="3"/>
        <v>2.2691299999999996</v>
      </c>
      <c r="H23">
        <v>13.661</v>
      </c>
      <c r="I23">
        <v>15.213699999999999</v>
      </c>
      <c r="J23">
        <v>16.3643</v>
      </c>
      <c r="K23">
        <v>17.691299999999998</v>
      </c>
    </row>
    <row r="24" spans="1:11" x14ac:dyDescent="0.3">
      <c r="A24">
        <f t="shared" si="4"/>
        <v>6.2000000000000054E-4</v>
      </c>
      <c r="B24" s="6">
        <f t="shared" si="0"/>
        <v>1.8497700000000001</v>
      </c>
      <c r="C24" s="6">
        <f t="shared" si="1"/>
        <v>2.0022599999999997</v>
      </c>
      <c r="D24" s="6">
        <f t="shared" si="2"/>
        <v>2.1155599999999999</v>
      </c>
      <c r="E24" s="10">
        <f t="shared" si="3"/>
        <v>2.2484200000000003</v>
      </c>
      <c r="H24">
        <v>13.4977</v>
      </c>
      <c r="I24">
        <v>15.022600000000001</v>
      </c>
      <c r="J24">
        <v>16.1556</v>
      </c>
      <c r="K24">
        <v>17.484200000000001</v>
      </c>
    </row>
    <row r="25" spans="1:11" x14ac:dyDescent="0.3">
      <c r="A25">
        <f t="shared" si="4"/>
        <v>6.4000000000000059E-4</v>
      </c>
      <c r="B25" s="6">
        <f t="shared" si="0"/>
        <v>1.83352</v>
      </c>
      <c r="C25" s="6">
        <f t="shared" si="1"/>
        <v>1.9830399999999999</v>
      </c>
      <c r="D25" s="6">
        <f t="shared" si="2"/>
        <v>2.09443</v>
      </c>
      <c r="E25" s="10">
        <f t="shared" si="3"/>
        <v>2.2273199999999997</v>
      </c>
      <c r="H25">
        <v>13.3352</v>
      </c>
      <c r="I25">
        <v>14.830399999999999</v>
      </c>
      <c r="J25">
        <v>15.9443</v>
      </c>
      <c r="K25">
        <v>17.273199999999999</v>
      </c>
    </row>
    <row r="26" spans="1:11" x14ac:dyDescent="0.3">
      <c r="A26">
        <f t="shared" si="4"/>
        <v>6.6000000000000065E-4</v>
      </c>
      <c r="B26" s="6">
        <f t="shared" si="0"/>
        <v>1.8181700000000001</v>
      </c>
      <c r="C26" s="6">
        <f t="shared" si="1"/>
        <v>1.96516</v>
      </c>
      <c r="D26" s="6">
        <f t="shared" si="2"/>
        <v>2.0747100000000001</v>
      </c>
      <c r="E26" s="10">
        <f t="shared" si="3"/>
        <v>2.2075100000000001</v>
      </c>
      <c r="H26">
        <v>13.181699999999999</v>
      </c>
      <c r="I26">
        <v>14.6516</v>
      </c>
      <c r="J26">
        <v>15.7471</v>
      </c>
      <c r="K26">
        <v>17.075099999999999</v>
      </c>
    </row>
    <row r="27" spans="1:11" x14ac:dyDescent="0.3">
      <c r="A27">
        <f t="shared" si="4"/>
        <v>6.800000000000007E-4</v>
      </c>
      <c r="B27" s="6">
        <f t="shared" si="0"/>
        <v>1.8029999999999999</v>
      </c>
      <c r="C27" s="6">
        <f t="shared" si="1"/>
        <v>1.9481700000000002</v>
      </c>
      <c r="D27" s="6">
        <f t="shared" si="2"/>
        <v>2.0559399999999997</v>
      </c>
      <c r="E27" s="10">
        <f t="shared" si="3"/>
        <v>2.18852</v>
      </c>
      <c r="H27">
        <v>13.03</v>
      </c>
      <c r="I27">
        <v>14.4817</v>
      </c>
      <c r="J27">
        <v>15.5594</v>
      </c>
      <c r="K27">
        <v>16.885200000000001</v>
      </c>
    </row>
    <row r="28" spans="1:11" x14ac:dyDescent="0.3">
      <c r="A28">
        <f t="shared" si="4"/>
        <v>7.0000000000000075E-4</v>
      </c>
      <c r="B28" s="6">
        <f t="shared" si="0"/>
        <v>1.7875700000000001</v>
      </c>
      <c r="C28" s="6">
        <f t="shared" si="1"/>
        <v>1.9317199999999999</v>
      </c>
      <c r="D28" s="6">
        <f t="shared" si="2"/>
        <v>2.0378499999999997</v>
      </c>
      <c r="E28" s="10">
        <f t="shared" si="3"/>
        <v>2.1700200000000001</v>
      </c>
      <c r="H28">
        <v>12.8757</v>
      </c>
      <c r="I28">
        <v>14.3172</v>
      </c>
      <c r="J28">
        <v>15.378500000000001</v>
      </c>
      <c r="K28">
        <v>16.700199999999999</v>
      </c>
    </row>
    <row r="29" spans="1:11" x14ac:dyDescent="0.3">
      <c r="A29">
        <f t="shared" si="4"/>
        <v>7.200000000000008E-4</v>
      </c>
      <c r="B29" s="6">
        <f t="shared" si="0"/>
        <v>1.7726</v>
      </c>
      <c r="C29" s="6">
        <f t="shared" si="1"/>
        <v>1.9162800000000002</v>
      </c>
      <c r="D29" s="6">
        <f t="shared" si="2"/>
        <v>2.02094</v>
      </c>
      <c r="E29" s="10">
        <f t="shared" si="3"/>
        <v>2.1525400000000001</v>
      </c>
      <c r="H29">
        <v>12.726000000000001</v>
      </c>
      <c r="I29">
        <v>14.162800000000001</v>
      </c>
      <c r="J29">
        <v>15.2094</v>
      </c>
      <c r="K29">
        <v>16.525400000000001</v>
      </c>
    </row>
    <row r="30" spans="1:11" x14ac:dyDescent="0.3">
      <c r="A30">
        <f t="shared" si="4"/>
        <v>7.4000000000000086E-4</v>
      </c>
      <c r="B30" s="6">
        <f t="shared" si="0"/>
        <v>1.7575799999999999</v>
      </c>
      <c r="C30" s="6">
        <f t="shared" si="1"/>
        <v>1.9009199999999999</v>
      </c>
      <c r="D30" s="6">
        <f t="shared" si="2"/>
        <v>2.0042800000000001</v>
      </c>
      <c r="E30" s="10">
        <f t="shared" si="3"/>
        <v>2.1351</v>
      </c>
      <c r="H30">
        <v>12.575799999999999</v>
      </c>
      <c r="I30">
        <v>14.0092</v>
      </c>
      <c r="J30">
        <v>15.0428</v>
      </c>
      <c r="K30">
        <v>16.350999999999999</v>
      </c>
    </row>
    <row r="31" spans="1:11" x14ac:dyDescent="0.3">
      <c r="A31">
        <f t="shared" si="4"/>
        <v>7.6000000000000091E-4</v>
      </c>
      <c r="B31" s="6">
        <f t="shared" si="0"/>
        <v>1.7426299999999999</v>
      </c>
      <c r="C31" s="6">
        <f t="shared" si="1"/>
        <v>1.8854300000000002</v>
      </c>
      <c r="D31" s="6">
        <f t="shared" si="2"/>
        <v>1.9876099999999999</v>
      </c>
      <c r="E31" s="10">
        <f t="shared" si="3"/>
        <v>2.1174800000000005</v>
      </c>
      <c r="H31">
        <v>12.426299999999999</v>
      </c>
      <c r="I31">
        <v>13.8543</v>
      </c>
      <c r="J31">
        <v>14.876099999999999</v>
      </c>
      <c r="K31">
        <v>16.174800000000001</v>
      </c>
    </row>
    <row r="32" spans="1:11" x14ac:dyDescent="0.3">
      <c r="A32">
        <f t="shared" si="4"/>
        <v>7.8000000000000096E-4</v>
      </c>
      <c r="B32" s="6">
        <f t="shared" si="0"/>
        <v>1.73007</v>
      </c>
      <c r="C32" s="6">
        <f t="shared" si="1"/>
        <v>1.87209</v>
      </c>
      <c r="D32" s="6">
        <f t="shared" si="2"/>
        <v>1.97333</v>
      </c>
      <c r="E32" s="10">
        <f t="shared" si="3"/>
        <v>2.1023399999999999</v>
      </c>
      <c r="H32">
        <v>12.300700000000001</v>
      </c>
      <c r="I32">
        <v>13.7209</v>
      </c>
      <c r="J32">
        <v>14.7333</v>
      </c>
      <c r="K32">
        <v>16.023399999999999</v>
      </c>
    </row>
    <row r="33" spans="1:11" x14ac:dyDescent="0.3">
      <c r="A33">
        <f t="shared" si="4"/>
        <v>8.0000000000000101E-4</v>
      </c>
      <c r="B33" s="6">
        <f t="shared" si="0"/>
        <v>1.7184300000000001</v>
      </c>
      <c r="C33" s="6">
        <f t="shared" si="1"/>
        <v>1.8595300000000001</v>
      </c>
      <c r="D33" s="6">
        <f t="shared" si="2"/>
        <v>1.9599099999999998</v>
      </c>
      <c r="E33" s="10">
        <f t="shared" si="3"/>
        <v>2.0881100000000004</v>
      </c>
      <c r="H33">
        <v>12.1843</v>
      </c>
      <c r="I33">
        <v>13.5953</v>
      </c>
      <c r="J33">
        <v>14.5991</v>
      </c>
      <c r="K33">
        <v>15.8811</v>
      </c>
    </row>
    <row r="34" spans="1:11" x14ac:dyDescent="0.3">
      <c r="A34">
        <f t="shared" si="4"/>
        <v>8.2000000000000107E-4</v>
      </c>
      <c r="B34" s="6">
        <f t="shared" si="0"/>
        <v>1.70651</v>
      </c>
      <c r="C34" s="6">
        <f t="shared" si="1"/>
        <v>1.8465400000000001</v>
      </c>
      <c r="D34" s="6">
        <f t="shared" si="2"/>
        <v>1.9460300000000001</v>
      </c>
      <c r="E34" s="10">
        <f t="shared" si="3"/>
        <v>2.07348</v>
      </c>
      <c r="H34">
        <v>12.065099999999999</v>
      </c>
      <c r="I34">
        <v>13.465400000000001</v>
      </c>
      <c r="J34">
        <v>14.4603</v>
      </c>
      <c r="K34">
        <v>15.7348</v>
      </c>
    </row>
    <row r="35" spans="1:11" x14ac:dyDescent="0.3">
      <c r="A35">
        <f t="shared" si="4"/>
        <v>8.4000000000000112E-4</v>
      </c>
      <c r="B35" s="6">
        <f t="shared" si="0"/>
        <v>1.69465</v>
      </c>
      <c r="C35" s="6">
        <f t="shared" si="1"/>
        <v>1.8336000000000001</v>
      </c>
      <c r="D35" s="6">
        <f t="shared" si="2"/>
        <v>1.9321899999999999</v>
      </c>
      <c r="E35" s="10">
        <f t="shared" si="3"/>
        <v>2.0589900000000001</v>
      </c>
      <c r="H35">
        <v>11.9465</v>
      </c>
      <c r="I35">
        <v>13.336</v>
      </c>
      <c r="J35">
        <v>14.321899999999999</v>
      </c>
      <c r="K35">
        <v>15.5899</v>
      </c>
    </row>
    <row r="36" spans="1:11" x14ac:dyDescent="0.3">
      <c r="A36">
        <f t="shared" si="4"/>
        <v>8.6000000000000117E-4</v>
      </c>
      <c r="B36" s="6">
        <f t="shared" si="0"/>
        <v>1.68354</v>
      </c>
      <c r="C36" s="6">
        <f t="shared" si="1"/>
        <v>1.8215199999999998</v>
      </c>
      <c r="D36" s="6">
        <f t="shared" si="2"/>
        <v>1.9192399999999998</v>
      </c>
      <c r="E36" s="10">
        <f t="shared" si="3"/>
        <v>2.04555</v>
      </c>
      <c r="H36">
        <v>11.8354</v>
      </c>
      <c r="I36">
        <v>13.215199999999999</v>
      </c>
      <c r="J36">
        <v>14.192399999999999</v>
      </c>
      <c r="K36">
        <v>15.455500000000001</v>
      </c>
    </row>
    <row r="37" spans="1:11" x14ac:dyDescent="0.3">
      <c r="A37">
        <f t="shared" si="4"/>
        <v>8.8000000000000122E-4</v>
      </c>
      <c r="B37" s="6">
        <f t="shared" si="0"/>
        <v>1.6730100000000001</v>
      </c>
      <c r="C37" s="6">
        <f t="shared" si="1"/>
        <v>1.8101799999999999</v>
      </c>
      <c r="D37" s="6">
        <f t="shared" si="2"/>
        <v>1.9071199999999999</v>
      </c>
      <c r="E37" s="10">
        <f t="shared" si="3"/>
        <v>2.0329899999999999</v>
      </c>
      <c r="H37">
        <v>11.7301</v>
      </c>
      <c r="I37">
        <v>13.101800000000001</v>
      </c>
      <c r="J37">
        <v>14.071199999999999</v>
      </c>
      <c r="K37">
        <v>15.3299</v>
      </c>
    </row>
    <row r="38" spans="1:11" x14ac:dyDescent="0.3">
      <c r="A38">
        <f t="shared" si="4"/>
        <v>9.0000000000000128E-4</v>
      </c>
      <c r="B38" s="6">
        <f t="shared" si="0"/>
        <v>1.66211</v>
      </c>
      <c r="C38" s="6">
        <f t="shared" si="1"/>
        <v>1.79854</v>
      </c>
      <c r="D38" s="6">
        <f t="shared" si="2"/>
        <v>1.8947100000000001</v>
      </c>
      <c r="E38" s="10">
        <f t="shared" si="3"/>
        <v>2.0201099999999999</v>
      </c>
      <c r="H38">
        <v>11.6211</v>
      </c>
      <c r="I38">
        <v>12.9854</v>
      </c>
      <c r="J38">
        <v>13.947100000000001</v>
      </c>
      <c r="K38">
        <v>15.2011</v>
      </c>
    </row>
    <row r="39" spans="1:11" x14ac:dyDescent="0.3">
      <c r="A39">
        <f t="shared" si="4"/>
        <v>9.2000000000000133E-4</v>
      </c>
      <c r="B39" s="6">
        <f t="shared" si="0"/>
        <v>1.6506999999999998</v>
      </c>
      <c r="C39" s="6">
        <f t="shared" si="1"/>
        <v>1.7864100000000003</v>
      </c>
      <c r="D39" s="6">
        <f t="shared" si="2"/>
        <v>1.8818600000000001</v>
      </c>
      <c r="E39" s="10">
        <f t="shared" si="3"/>
        <v>2.0066899999999999</v>
      </c>
      <c r="H39">
        <v>11.507</v>
      </c>
      <c r="I39">
        <v>12.864100000000001</v>
      </c>
      <c r="J39">
        <v>13.8186</v>
      </c>
      <c r="K39">
        <v>15.0669</v>
      </c>
    </row>
    <row r="40" spans="1:11" x14ac:dyDescent="0.3">
      <c r="A40">
        <f t="shared" si="4"/>
        <v>9.4000000000000138E-4</v>
      </c>
      <c r="B40" s="6">
        <f t="shared" si="0"/>
        <v>1.6406700000000001</v>
      </c>
      <c r="C40" s="6">
        <f t="shared" si="1"/>
        <v>1.77576</v>
      </c>
      <c r="D40" s="6">
        <f t="shared" si="2"/>
        <v>1.87066</v>
      </c>
      <c r="E40" s="10">
        <f t="shared" si="3"/>
        <v>1.99491</v>
      </c>
      <c r="H40">
        <v>11.406700000000001</v>
      </c>
      <c r="I40">
        <v>12.7576</v>
      </c>
      <c r="J40">
        <v>13.7066</v>
      </c>
      <c r="K40">
        <v>14.9491</v>
      </c>
    </row>
    <row r="41" spans="1:11" x14ac:dyDescent="0.3">
      <c r="A41">
        <f t="shared" si="4"/>
        <v>9.6000000000000143E-4</v>
      </c>
      <c r="B41" s="6">
        <f t="shared" si="0"/>
        <v>1.6307800000000001</v>
      </c>
      <c r="C41" s="6">
        <f t="shared" si="1"/>
        <v>1.7652699999999999</v>
      </c>
      <c r="D41" s="6">
        <f t="shared" si="2"/>
        <v>1.85972</v>
      </c>
      <c r="E41" s="10">
        <f t="shared" si="3"/>
        <v>1.98332</v>
      </c>
      <c r="H41">
        <v>11.3078</v>
      </c>
      <c r="I41">
        <v>12.652699999999999</v>
      </c>
      <c r="J41">
        <v>13.597200000000001</v>
      </c>
      <c r="K41">
        <v>14.8332</v>
      </c>
    </row>
    <row r="42" spans="1:11" x14ac:dyDescent="0.3">
      <c r="A42">
        <f t="shared" si="4"/>
        <v>9.8000000000000149E-4</v>
      </c>
      <c r="B42" s="6">
        <f t="shared" si="0"/>
        <v>1.62208</v>
      </c>
      <c r="C42" s="6">
        <f t="shared" si="1"/>
        <v>1.7560200000000001</v>
      </c>
      <c r="D42" s="6">
        <f t="shared" si="2"/>
        <v>1.8501699999999999</v>
      </c>
      <c r="E42" s="10">
        <f t="shared" si="3"/>
        <v>1.9731400000000001</v>
      </c>
      <c r="H42">
        <v>11.220800000000001</v>
      </c>
      <c r="I42">
        <v>12.5602</v>
      </c>
      <c r="J42">
        <v>13.5017</v>
      </c>
      <c r="K42">
        <v>14.731400000000001</v>
      </c>
    </row>
    <row r="43" spans="1:11" s="5" customFormat="1" x14ac:dyDescent="0.3">
      <c r="A43" s="5">
        <f t="shared" si="4"/>
        <v>1.0000000000000015E-3</v>
      </c>
      <c r="B43" s="6">
        <f t="shared" si="0"/>
        <v>1.6129</v>
      </c>
      <c r="C43" s="6">
        <f t="shared" si="1"/>
        <v>1.7462199999999999</v>
      </c>
      <c r="D43" s="6">
        <f t="shared" si="2"/>
        <v>1.8401500000000002</v>
      </c>
      <c r="E43" s="10">
        <f t="shared" si="3"/>
        <v>1.9624100000000002</v>
      </c>
      <c r="H43" s="5">
        <v>11.129</v>
      </c>
      <c r="I43" s="5">
        <v>12.462199999999999</v>
      </c>
      <c r="J43" s="5">
        <v>13.4015</v>
      </c>
      <c r="K43" s="5">
        <v>14.6241</v>
      </c>
    </row>
    <row r="44" spans="1:11" x14ac:dyDescent="0.3">
      <c r="A44">
        <f>A43+0.0001</f>
        <v>1.1000000000000016E-3</v>
      </c>
      <c r="B44" s="6">
        <f t="shared" si="0"/>
        <v>1.5658300000000001</v>
      </c>
      <c r="C44" s="6">
        <f t="shared" si="1"/>
        <v>1.6947400000000001</v>
      </c>
      <c r="D44" s="6">
        <f t="shared" si="2"/>
        <v>1.7890000000000001</v>
      </c>
      <c r="E44" s="10">
        <f t="shared" si="3"/>
        <v>1.9071500000000001</v>
      </c>
      <c r="H44">
        <v>10.658300000000001</v>
      </c>
      <c r="I44">
        <v>11.9474</v>
      </c>
      <c r="J44">
        <v>12.89</v>
      </c>
      <c r="K44">
        <v>14.0715</v>
      </c>
    </row>
    <row r="45" spans="1:11" x14ac:dyDescent="0.3">
      <c r="A45">
        <f t="shared" ref="A45:A73" si="5">A44+0.0001</f>
        <v>1.2000000000000016E-3</v>
      </c>
      <c r="B45" s="6">
        <f t="shared" si="0"/>
        <v>1.5301</v>
      </c>
      <c r="C45" s="6">
        <f t="shared" si="1"/>
        <v>1.6530099999999999</v>
      </c>
      <c r="D45" s="6">
        <f t="shared" si="2"/>
        <v>1.74882</v>
      </c>
      <c r="E45" s="10">
        <f t="shared" si="3"/>
        <v>1.8622100000000001</v>
      </c>
      <c r="H45">
        <v>10.301</v>
      </c>
      <c r="I45">
        <v>11.530099999999999</v>
      </c>
      <c r="J45">
        <v>12.488200000000001</v>
      </c>
      <c r="K45">
        <v>13.6221</v>
      </c>
    </row>
    <row r="46" spans="1:11" x14ac:dyDescent="0.3">
      <c r="A46">
        <f t="shared" si="5"/>
        <v>1.3000000000000017E-3</v>
      </c>
      <c r="B46" s="6">
        <f t="shared" si="0"/>
        <v>1.4959099999999999</v>
      </c>
      <c r="C46" s="6">
        <f t="shared" si="1"/>
        <v>1.61287</v>
      </c>
      <c r="D46" s="6">
        <f t="shared" si="2"/>
        <v>1.71051</v>
      </c>
      <c r="E46" s="10">
        <f t="shared" si="3"/>
        <v>1.8178100000000001</v>
      </c>
      <c r="H46">
        <v>9.9590999999999994</v>
      </c>
      <c r="I46">
        <v>11.1287</v>
      </c>
      <c r="J46">
        <v>12.1051</v>
      </c>
      <c r="K46">
        <v>13.178100000000001</v>
      </c>
    </row>
    <row r="47" spans="1:11" x14ac:dyDescent="0.3">
      <c r="A47">
        <f t="shared" si="5"/>
        <v>1.4000000000000017E-3</v>
      </c>
      <c r="B47" s="6">
        <f t="shared" si="0"/>
        <v>1.4653800000000001</v>
      </c>
      <c r="C47" s="6">
        <f t="shared" si="1"/>
        <v>1.58033</v>
      </c>
      <c r="D47" s="6">
        <f t="shared" si="2"/>
        <v>1.6792299999999998</v>
      </c>
      <c r="E47" s="10">
        <f t="shared" si="3"/>
        <v>1.78203</v>
      </c>
      <c r="H47">
        <v>9.6538000000000004</v>
      </c>
      <c r="I47">
        <v>10.8033</v>
      </c>
      <c r="J47">
        <v>11.792299999999999</v>
      </c>
      <c r="K47">
        <v>12.8203</v>
      </c>
    </row>
    <row r="48" spans="1:11" x14ac:dyDescent="0.3">
      <c r="A48">
        <f t="shared" si="5"/>
        <v>1.5000000000000018E-3</v>
      </c>
      <c r="B48" s="6">
        <f t="shared" si="0"/>
        <v>1.4382199999999998</v>
      </c>
      <c r="C48" s="6">
        <f t="shared" si="1"/>
        <v>1.55</v>
      </c>
      <c r="D48" s="6">
        <f t="shared" si="2"/>
        <v>1.64957</v>
      </c>
      <c r="E48" s="10">
        <f t="shared" si="3"/>
        <v>1.7484299999999999</v>
      </c>
      <c r="H48">
        <v>9.3821999999999992</v>
      </c>
      <c r="I48">
        <v>10.5</v>
      </c>
      <c r="J48">
        <v>11.495699999999999</v>
      </c>
      <c r="K48">
        <v>12.484299999999999</v>
      </c>
    </row>
    <row r="49" spans="1:11" x14ac:dyDescent="0.3">
      <c r="A49">
        <f t="shared" si="5"/>
        <v>1.6000000000000018E-3</v>
      </c>
      <c r="B49" s="6">
        <f t="shared" si="0"/>
        <v>1.4127200000000002</v>
      </c>
      <c r="C49" s="6">
        <f t="shared" si="1"/>
        <v>1.52091</v>
      </c>
      <c r="D49" s="6">
        <f t="shared" si="2"/>
        <v>1.6207900000000002</v>
      </c>
      <c r="E49" s="10">
        <f t="shared" si="3"/>
        <v>1.7154700000000001</v>
      </c>
      <c r="H49">
        <v>9.1272000000000002</v>
      </c>
      <c r="I49">
        <v>10.209099999999999</v>
      </c>
      <c r="J49">
        <v>11.2079</v>
      </c>
      <c r="K49">
        <v>12.1547</v>
      </c>
    </row>
    <row r="50" spans="1:11" x14ac:dyDescent="0.3">
      <c r="A50">
        <f t="shared" si="5"/>
        <v>1.7000000000000019E-3</v>
      </c>
      <c r="B50" s="6">
        <f t="shared" si="0"/>
        <v>1.3897300000000001</v>
      </c>
      <c r="C50" s="6">
        <f t="shared" si="1"/>
        <v>1.4967599999999999</v>
      </c>
      <c r="D50" s="6">
        <f t="shared" si="2"/>
        <v>1.5970199999999999</v>
      </c>
      <c r="E50" s="10">
        <f t="shared" si="3"/>
        <v>1.68831</v>
      </c>
      <c r="H50">
        <v>8.8972999999999995</v>
      </c>
      <c r="I50">
        <v>9.9675999999999991</v>
      </c>
      <c r="J50">
        <v>10.9702</v>
      </c>
      <c r="K50">
        <v>11.883100000000001</v>
      </c>
    </row>
    <row r="51" spans="1:11" x14ac:dyDescent="0.3">
      <c r="A51">
        <f t="shared" si="5"/>
        <v>1.8000000000000019E-3</v>
      </c>
      <c r="B51" s="6">
        <f t="shared" si="0"/>
        <v>1.3682000000000001</v>
      </c>
      <c r="C51" s="6">
        <f t="shared" si="1"/>
        <v>1.4739499999999999</v>
      </c>
      <c r="D51" s="6">
        <f t="shared" si="2"/>
        <v>1.57477</v>
      </c>
      <c r="E51" s="10">
        <f t="shared" si="3"/>
        <v>1.6632199999999999</v>
      </c>
      <c r="H51">
        <v>8.6820000000000004</v>
      </c>
      <c r="I51">
        <v>9.7394999999999996</v>
      </c>
      <c r="J51">
        <v>10.7477</v>
      </c>
      <c r="K51">
        <v>11.632199999999999</v>
      </c>
    </row>
    <row r="52" spans="1:11" x14ac:dyDescent="0.3">
      <c r="A52">
        <f t="shared" si="5"/>
        <v>1.9000000000000019E-3</v>
      </c>
      <c r="B52" s="6">
        <f t="shared" si="0"/>
        <v>1.3504700000000001</v>
      </c>
      <c r="C52" s="6">
        <f t="shared" si="1"/>
        <v>1.4531700000000001</v>
      </c>
      <c r="D52" s="6">
        <f t="shared" si="2"/>
        <v>1.5545900000000001</v>
      </c>
      <c r="E52" s="10">
        <f t="shared" si="3"/>
        <v>1.6402600000000001</v>
      </c>
      <c r="H52">
        <v>8.5046999999999997</v>
      </c>
      <c r="I52">
        <v>9.5317000000000007</v>
      </c>
      <c r="J52">
        <v>10.5459</v>
      </c>
      <c r="K52">
        <v>11.4026</v>
      </c>
    </row>
    <row r="53" spans="1:11" x14ac:dyDescent="0.3">
      <c r="A53">
        <f t="shared" si="5"/>
        <v>2.0000000000000018E-3</v>
      </c>
      <c r="B53" s="6">
        <f t="shared" si="0"/>
        <v>1.3343</v>
      </c>
      <c r="C53" s="6">
        <f t="shared" si="1"/>
        <v>1.4335</v>
      </c>
      <c r="D53" s="6">
        <f t="shared" si="2"/>
        <v>1.53518</v>
      </c>
      <c r="E53" s="10">
        <f t="shared" si="3"/>
        <v>1.6177599999999999</v>
      </c>
      <c r="H53">
        <v>8.343</v>
      </c>
      <c r="I53">
        <v>9.3350000000000009</v>
      </c>
      <c r="J53">
        <v>10.351800000000001</v>
      </c>
      <c r="K53">
        <v>11.1776</v>
      </c>
    </row>
    <row r="54" spans="1:11" x14ac:dyDescent="0.3">
      <c r="A54">
        <f t="shared" si="5"/>
        <v>2.1000000000000016E-3</v>
      </c>
      <c r="B54" s="6">
        <f t="shared" si="0"/>
        <v>1.31881</v>
      </c>
      <c r="C54" s="6">
        <f t="shared" si="1"/>
        <v>1.4158500000000001</v>
      </c>
      <c r="D54" s="6">
        <f t="shared" si="2"/>
        <v>1.5171999999999999</v>
      </c>
      <c r="E54" s="10">
        <f t="shared" si="3"/>
        <v>1.5967399999999998</v>
      </c>
      <c r="H54">
        <v>8.1881000000000004</v>
      </c>
      <c r="I54">
        <v>9.1585000000000001</v>
      </c>
      <c r="J54">
        <v>10.172000000000001</v>
      </c>
      <c r="K54">
        <v>10.9674</v>
      </c>
    </row>
    <row r="55" spans="1:11" x14ac:dyDescent="0.3">
      <c r="A55">
        <f t="shared" si="5"/>
        <v>2.2000000000000014E-3</v>
      </c>
      <c r="B55" s="6">
        <f t="shared" si="0"/>
        <v>1.3043300000000002</v>
      </c>
      <c r="C55" s="6">
        <f t="shared" si="1"/>
        <v>1.4004300000000001</v>
      </c>
      <c r="D55" s="6">
        <f t="shared" si="2"/>
        <v>1.5008699999999999</v>
      </c>
      <c r="E55" s="10">
        <f t="shared" si="3"/>
        <v>1.5781000000000001</v>
      </c>
      <c r="H55">
        <v>8.0433000000000003</v>
      </c>
      <c r="I55">
        <v>9.0043000000000006</v>
      </c>
      <c r="J55">
        <v>10.008699999999999</v>
      </c>
      <c r="K55">
        <v>10.781000000000001</v>
      </c>
    </row>
    <row r="56" spans="1:11" x14ac:dyDescent="0.3">
      <c r="A56">
        <f t="shared" si="5"/>
        <v>2.3000000000000013E-3</v>
      </c>
      <c r="B56" s="6">
        <f t="shared" si="0"/>
        <v>1.2899500000000002</v>
      </c>
      <c r="C56" s="6">
        <f t="shared" si="1"/>
        <v>1.38523</v>
      </c>
      <c r="D56" s="6">
        <f t="shared" si="2"/>
        <v>1.4840899999999999</v>
      </c>
      <c r="E56" s="10">
        <f t="shared" si="3"/>
        <v>1.55992</v>
      </c>
      <c r="H56">
        <v>7.8994999999999997</v>
      </c>
      <c r="I56">
        <v>8.8522999999999996</v>
      </c>
      <c r="J56">
        <v>9.8408999999999995</v>
      </c>
      <c r="K56">
        <v>10.5992</v>
      </c>
    </row>
    <row r="57" spans="1:11" x14ac:dyDescent="0.3">
      <c r="A57">
        <f t="shared" si="5"/>
        <v>2.4000000000000011E-3</v>
      </c>
      <c r="B57" s="6">
        <f t="shared" si="0"/>
        <v>1.27732</v>
      </c>
      <c r="C57" s="6">
        <f t="shared" si="1"/>
        <v>1.3716200000000001</v>
      </c>
      <c r="D57" s="6">
        <f t="shared" si="2"/>
        <v>1.4684200000000001</v>
      </c>
      <c r="E57" s="10">
        <f t="shared" si="3"/>
        <v>1.54399</v>
      </c>
      <c r="H57">
        <v>7.7732000000000001</v>
      </c>
      <c r="I57">
        <v>8.7162000000000006</v>
      </c>
      <c r="J57">
        <v>9.6842000000000006</v>
      </c>
      <c r="K57">
        <v>10.4399</v>
      </c>
    </row>
    <row r="58" spans="1:11" x14ac:dyDescent="0.3">
      <c r="A58">
        <f t="shared" si="5"/>
        <v>2.5000000000000009E-3</v>
      </c>
      <c r="B58" s="6">
        <f t="shared" si="0"/>
        <v>1.2662599999999999</v>
      </c>
      <c r="C58" s="6">
        <f t="shared" si="1"/>
        <v>1.3595700000000002</v>
      </c>
      <c r="D58" s="6">
        <f t="shared" si="2"/>
        <v>1.45407</v>
      </c>
      <c r="E58" s="10">
        <f t="shared" si="3"/>
        <v>1.5297800000000001</v>
      </c>
      <c r="H58">
        <v>7.6626000000000003</v>
      </c>
      <c r="I58">
        <v>8.5957000000000008</v>
      </c>
      <c r="J58">
        <v>9.5406999999999993</v>
      </c>
      <c r="K58">
        <v>10.297800000000001</v>
      </c>
    </row>
    <row r="59" spans="1:11" x14ac:dyDescent="0.3">
      <c r="A59">
        <f t="shared" si="5"/>
        <v>2.6000000000000007E-3</v>
      </c>
      <c r="B59" s="6">
        <f t="shared" si="0"/>
        <v>1.2553300000000001</v>
      </c>
      <c r="C59" s="6">
        <f t="shared" si="1"/>
        <v>1.34761</v>
      </c>
      <c r="D59" s="6">
        <f t="shared" si="2"/>
        <v>1.4394399999999998</v>
      </c>
      <c r="E59" s="10">
        <f t="shared" si="3"/>
        <v>1.5150999999999999</v>
      </c>
      <c r="H59">
        <v>7.5533000000000001</v>
      </c>
      <c r="I59">
        <v>8.4761000000000006</v>
      </c>
      <c r="J59">
        <v>9.3943999999999992</v>
      </c>
      <c r="K59">
        <v>10.151</v>
      </c>
    </row>
    <row r="60" spans="1:11" x14ac:dyDescent="0.3">
      <c r="A60">
        <f t="shared" si="5"/>
        <v>2.7000000000000006E-3</v>
      </c>
      <c r="B60" s="6">
        <f t="shared" si="0"/>
        <v>1.2445999999999999</v>
      </c>
      <c r="C60" s="6">
        <f t="shared" si="1"/>
        <v>1.33592</v>
      </c>
      <c r="D60" s="6">
        <f t="shared" si="2"/>
        <v>1.4248400000000001</v>
      </c>
      <c r="E60" s="10">
        <f t="shared" si="3"/>
        <v>1.5001500000000001</v>
      </c>
      <c r="H60">
        <v>7.4459999999999997</v>
      </c>
      <c r="I60">
        <v>8.3591999999999995</v>
      </c>
      <c r="J60">
        <v>9.2484000000000002</v>
      </c>
      <c r="K60">
        <v>10.0015</v>
      </c>
    </row>
    <row r="61" spans="1:11" x14ac:dyDescent="0.3">
      <c r="A61">
        <f t="shared" si="5"/>
        <v>2.8000000000000004E-3</v>
      </c>
      <c r="B61" s="6">
        <f t="shared" si="0"/>
        <v>1.2334499999999999</v>
      </c>
      <c r="C61" s="6">
        <f t="shared" si="1"/>
        <v>1.32375</v>
      </c>
      <c r="D61" s="6">
        <f t="shared" si="2"/>
        <v>1.4096600000000001</v>
      </c>
      <c r="E61" s="10">
        <f t="shared" si="3"/>
        <v>1.4847300000000001</v>
      </c>
      <c r="H61">
        <v>7.3345000000000002</v>
      </c>
      <c r="I61">
        <v>8.2375000000000007</v>
      </c>
      <c r="J61">
        <v>9.0966000000000005</v>
      </c>
      <c r="K61">
        <v>9.8473000000000006</v>
      </c>
    </row>
    <row r="62" spans="1:11" x14ac:dyDescent="0.3">
      <c r="A62">
        <f t="shared" si="5"/>
        <v>2.9000000000000002E-3</v>
      </c>
      <c r="B62" s="6">
        <f t="shared" si="0"/>
        <v>1.2244700000000002</v>
      </c>
      <c r="C62" s="6">
        <f t="shared" si="1"/>
        <v>1.31389</v>
      </c>
      <c r="D62" s="6">
        <f t="shared" si="2"/>
        <v>1.3976500000000001</v>
      </c>
      <c r="E62" s="10">
        <f t="shared" si="3"/>
        <v>1.4729100000000002</v>
      </c>
      <c r="H62">
        <v>7.2446999999999999</v>
      </c>
      <c r="I62">
        <v>8.1388999999999996</v>
      </c>
      <c r="J62">
        <v>8.9764999999999997</v>
      </c>
      <c r="K62">
        <v>9.7291000000000007</v>
      </c>
    </row>
    <row r="63" spans="1:11" x14ac:dyDescent="0.3">
      <c r="A63">
        <f t="shared" si="5"/>
        <v>3.0000000000000001E-3</v>
      </c>
      <c r="B63" s="6">
        <f t="shared" si="0"/>
        <v>1.2162000000000002</v>
      </c>
      <c r="C63" s="6">
        <f t="shared" si="1"/>
        <v>1.30471</v>
      </c>
      <c r="D63" s="6">
        <f t="shared" si="2"/>
        <v>1.3868399999999999</v>
      </c>
      <c r="E63" s="10">
        <f t="shared" si="3"/>
        <v>1.4624999999999999</v>
      </c>
      <c r="H63">
        <v>7.1619999999999999</v>
      </c>
      <c r="I63">
        <v>8.0471000000000004</v>
      </c>
      <c r="J63">
        <v>8.8683999999999994</v>
      </c>
      <c r="K63">
        <v>9.625</v>
      </c>
    </row>
    <row r="64" spans="1:11" x14ac:dyDescent="0.3">
      <c r="A64">
        <f t="shared" si="5"/>
        <v>3.0999999999999999E-3</v>
      </c>
      <c r="B64" s="6">
        <f t="shared" si="0"/>
        <v>1.2072400000000001</v>
      </c>
      <c r="C64" s="6">
        <f t="shared" si="1"/>
        <v>1.29471</v>
      </c>
      <c r="D64" s="6">
        <f t="shared" si="2"/>
        <v>1.3755500000000001</v>
      </c>
      <c r="E64" s="10">
        <f t="shared" si="3"/>
        <v>1.4515400000000001</v>
      </c>
      <c r="H64">
        <v>7.0724</v>
      </c>
      <c r="I64">
        <v>7.9470999999999998</v>
      </c>
      <c r="J64">
        <v>8.7554999999999996</v>
      </c>
      <c r="K64">
        <v>9.5153999999999996</v>
      </c>
    </row>
    <row r="65" spans="1:11" x14ac:dyDescent="0.3">
      <c r="A65">
        <f t="shared" si="5"/>
        <v>3.1999999999999997E-3</v>
      </c>
      <c r="B65" s="6">
        <f t="shared" si="0"/>
        <v>1.1989799999999999</v>
      </c>
      <c r="C65" s="6">
        <f t="shared" si="1"/>
        <v>1.28552</v>
      </c>
      <c r="D65" s="6">
        <f t="shared" si="2"/>
        <v>1.3654299999999999</v>
      </c>
      <c r="E65" s="10">
        <f t="shared" si="3"/>
        <v>1.4414799999999999</v>
      </c>
      <c r="H65">
        <v>6.9897999999999998</v>
      </c>
      <c r="I65">
        <v>7.8552</v>
      </c>
      <c r="J65">
        <v>8.6542999999999992</v>
      </c>
      <c r="K65">
        <v>9.4147999999999996</v>
      </c>
    </row>
    <row r="66" spans="1:11" x14ac:dyDescent="0.3">
      <c r="A66">
        <f t="shared" si="5"/>
        <v>3.2999999999999995E-3</v>
      </c>
      <c r="B66" s="6">
        <f t="shared" si="0"/>
        <v>1.18947</v>
      </c>
      <c r="C66" s="6">
        <f t="shared" si="1"/>
        <v>1.2750599999999999</v>
      </c>
      <c r="D66" s="6">
        <f t="shared" si="2"/>
        <v>1.35398</v>
      </c>
      <c r="E66" s="10">
        <f t="shared" si="3"/>
        <v>1.42964</v>
      </c>
      <c r="H66">
        <v>6.8947000000000003</v>
      </c>
      <c r="I66">
        <v>7.7506000000000004</v>
      </c>
      <c r="J66">
        <v>8.5397999999999996</v>
      </c>
      <c r="K66">
        <v>9.2964000000000002</v>
      </c>
    </row>
    <row r="67" spans="1:11" x14ac:dyDescent="0.3">
      <c r="A67">
        <f t="shared" si="5"/>
        <v>3.3999999999999994E-3</v>
      </c>
      <c r="B67" s="6">
        <f t="shared" si="0"/>
        <v>1.1814100000000001</v>
      </c>
      <c r="C67" s="6">
        <f t="shared" si="1"/>
        <v>1.26631</v>
      </c>
      <c r="D67" s="6">
        <f t="shared" si="2"/>
        <v>1.3443100000000001</v>
      </c>
      <c r="E67" s="10">
        <f t="shared" si="3"/>
        <v>1.41916</v>
      </c>
      <c r="H67">
        <v>6.8140999999999998</v>
      </c>
      <c r="I67">
        <v>7.6631</v>
      </c>
      <c r="J67">
        <v>8.4430999999999994</v>
      </c>
      <c r="K67">
        <v>9.1915999999999993</v>
      </c>
    </row>
    <row r="68" spans="1:11" x14ac:dyDescent="0.3">
      <c r="A68">
        <f t="shared" si="5"/>
        <v>3.4999999999999992E-3</v>
      </c>
      <c r="B68" s="6">
        <f t="shared" si="0"/>
        <v>1.1746799999999999</v>
      </c>
      <c r="C68" s="6">
        <f t="shared" si="1"/>
        <v>1.25915</v>
      </c>
      <c r="D68" s="6">
        <f t="shared" si="2"/>
        <v>1.3361700000000001</v>
      </c>
      <c r="E68" s="10">
        <f t="shared" si="3"/>
        <v>1.41018</v>
      </c>
      <c r="H68">
        <v>6.7468000000000004</v>
      </c>
      <c r="I68">
        <v>7.5914999999999999</v>
      </c>
      <c r="J68">
        <v>8.3617000000000008</v>
      </c>
      <c r="K68">
        <v>9.1018000000000008</v>
      </c>
    </row>
    <row r="69" spans="1:11" x14ac:dyDescent="0.3">
      <c r="A69">
        <f t="shared" si="5"/>
        <v>3.599999999999999E-3</v>
      </c>
      <c r="B69" s="6">
        <f t="shared" ref="B69:B123" si="6">0.5+2.5*H69/25</f>
        <v>1.1675500000000001</v>
      </c>
      <c r="C69" s="6">
        <f t="shared" ref="C69:C123" si="7">0.5+2.5*I69/25</f>
        <v>1.2517100000000001</v>
      </c>
      <c r="D69" s="6">
        <f t="shared" ref="D69:D123" si="8">0.5+2.5*J69/25</f>
        <v>1.3273899999999998</v>
      </c>
      <c r="E69" s="10">
        <f t="shared" ref="E69:E123" si="9">0.5+2.5*K69/25</f>
        <v>1.4005699999999999</v>
      </c>
      <c r="H69">
        <v>6.6755000000000004</v>
      </c>
      <c r="I69">
        <v>7.5171000000000001</v>
      </c>
      <c r="J69">
        <v>8.2738999999999994</v>
      </c>
      <c r="K69">
        <v>9.0056999999999992</v>
      </c>
    </row>
    <row r="70" spans="1:11" x14ac:dyDescent="0.3">
      <c r="A70">
        <f t="shared" si="5"/>
        <v>3.6999999999999989E-3</v>
      </c>
      <c r="B70" s="6">
        <f t="shared" si="6"/>
        <v>1.16039</v>
      </c>
      <c r="C70" s="6">
        <f t="shared" si="7"/>
        <v>1.24437</v>
      </c>
      <c r="D70" s="6">
        <f t="shared" si="8"/>
        <v>1.3183099999999999</v>
      </c>
      <c r="E70" s="10">
        <f t="shared" si="9"/>
        <v>1.3909800000000001</v>
      </c>
      <c r="H70">
        <v>6.6039000000000003</v>
      </c>
      <c r="I70">
        <v>7.4436999999999998</v>
      </c>
      <c r="J70">
        <v>8.1830999999999996</v>
      </c>
      <c r="K70">
        <v>8.9098000000000006</v>
      </c>
    </row>
    <row r="71" spans="1:11" x14ac:dyDescent="0.3">
      <c r="A71">
        <f t="shared" si="5"/>
        <v>3.7999999999999987E-3</v>
      </c>
      <c r="B71" s="6">
        <f t="shared" si="6"/>
        <v>1.1542300000000001</v>
      </c>
      <c r="C71" s="6">
        <f t="shared" si="7"/>
        <v>1.23813</v>
      </c>
      <c r="D71" s="6">
        <f t="shared" si="8"/>
        <v>1.3102800000000001</v>
      </c>
      <c r="E71" s="10">
        <f t="shared" si="9"/>
        <v>1.3829099999999999</v>
      </c>
      <c r="H71">
        <v>6.5423</v>
      </c>
      <c r="I71">
        <v>7.3813000000000004</v>
      </c>
      <c r="J71">
        <v>8.1028000000000002</v>
      </c>
      <c r="K71">
        <v>8.8291000000000004</v>
      </c>
    </row>
    <row r="72" spans="1:11" x14ac:dyDescent="0.3">
      <c r="A72">
        <f t="shared" si="5"/>
        <v>3.8999999999999985E-3</v>
      </c>
      <c r="B72" s="6">
        <f t="shared" si="6"/>
        <v>1.1475300000000002</v>
      </c>
      <c r="C72" s="6">
        <f t="shared" si="7"/>
        <v>1.2314000000000001</v>
      </c>
      <c r="D72" s="6">
        <f t="shared" si="8"/>
        <v>1.3013699999999999</v>
      </c>
      <c r="E72" s="10">
        <f t="shared" si="9"/>
        <v>1.3743700000000001</v>
      </c>
      <c r="H72">
        <v>6.4752999999999998</v>
      </c>
      <c r="I72">
        <v>7.3140000000000001</v>
      </c>
      <c r="J72">
        <v>8.0137</v>
      </c>
      <c r="K72">
        <v>8.7437000000000005</v>
      </c>
    </row>
    <row r="73" spans="1:11" s="5" customFormat="1" x14ac:dyDescent="0.3">
      <c r="A73" s="5">
        <f t="shared" si="5"/>
        <v>3.9999999999999983E-3</v>
      </c>
      <c r="B73" s="6">
        <f t="shared" si="6"/>
        <v>1.14181</v>
      </c>
      <c r="C73" s="6">
        <f t="shared" si="7"/>
        <v>1.2256900000000002</v>
      </c>
      <c r="D73" s="6">
        <f t="shared" si="8"/>
        <v>1.2936399999999999</v>
      </c>
      <c r="E73" s="10">
        <f t="shared" si="9"/>
        <v>1.3671799999999998</v>
      </c>
      <c r="H73" s="5">
        <v>6.4180999999999999</v>
      </c>
      <c r="I73" s="5">
        <v>7.2568999999999999</v>
      </c>
      <c r="J73" s="5">
        <v>7.9363999999999999</v>
      </c>
      <c r="K73" s="5">
        <v>8.6717999999999993</v>
      </c>
    </row>
    <row r="74" spans="1:11" x14ac:dyDescent="0.3">
      <c r="A74">
        <f>A73+0.0002</f>
        <v>4.199999999999998E-3</v>
      </c>
      <c r="B74" s="6">
        <f t="shared" si="6"/>
        <v>1.1287500000000001</v>
      </c>
      <c r="C74" s="6">
        <f t="shared" si="7"/>
        <v>1.2127400000000002</v>
      </c>
      <c r="D74" s="6">
        <f t="shared" si="8"/>
        <v>1.2758700000000001</v>
      </c>
      <c r="E74" s="10">
        <f t="shared" si="9"/>
        <v>1.35066</v>
      </c>
      <c r="H74">
        <v>6.2874999999999996</v>
      </c>
      <c r="I74">
        <v>7.1273999999999997</v>
      </c>
      <c r="J74">
        <v>7.7587000000000002</v>
      </c>
      <c r="K74">
        <v>8.5066000000000006</v>
      </c>
    </row>
    <row r="75" spans="1:11" x14ac:dyDescent="0.3">
      <c r="A75">
        <f t="shared" ref="A75:A103" si="10">A74+0.0002</f>
        <v>4.3999999999999977E-3</v>
      </c>
      <c r="B75" s="6">
        <f t="shared" si="6"/>
        <v>1.1187800000000001</v>
      </c>
      <c r="C75" s="6">
        <f t="shared" si="7"/>
        <v>1.20286</v>
      </c>
      <c r="D75" s="6">
        <f t="shared" si="8"/>
        <v>1.2624500000000001</v>
      </c>
      <c r="E75" s="10">
        <f t="shared" si="9"/>
        <v>1.33761</v>
      </c>
      <c r="H75">
        <v>6.1878000000000002</v>
      </c>
      <c r="I75">
        <v>7.0286</v>
      </c>
      <c r="J75">
        <v>7.6245000000000003</v>
      </c>
      <c r="K75">
        <v>8.3760999999999992</v>
      </c>
    </row>
    <row r="76" spans="1:11" x14ac:dyDescent="0.3">
      <c r="A76">
        <f t="shared" si="10"/>
        <v>4.5999999999999973E-3</v>
      </c>
      <c r="B76" s="6">
        <f t="shared" si="6"/>
        <v>1.1089199999999999</v>
      </c>
      <c r="C76" s="6">
        <f t="shared" si="7"/>
        <v>1.1930499999999999</v>
      </c>
      <c r="D76" s="6">
        <f t="shared" si="8"/>
        <v>1.24949</v>
      </c>
      <c r="E76" s="10">
        <f t="shared" si="9"/>
        <v>1.3242499999999999</v>
      </c>
      <c r="H76">
        <v>6.0891999999999999</v>
      </c>
      <c r="I76">
        <v>6.9305000000000003</v>
      </c>
      <c r="J76">
        <v>7.4949000000000003</v>
      </c>
      <c r="K76">
        <v>8.2424999999999997</v>
      </c>
    </row>
    <row r="77" spans="1:11" x14ac:dyDescent="0.3">
      <c r="A77">
        <f t="shared" si="10"/>
        <v>4.799999999999997E-3</v>
      </c>
      <c r="B77" s="6">
        <f t="shared" si="6"/>
        <v>1.0989100000000001</v>
      </c>
      <c r="C77" s="6">
        <f t="shared" si="7"/>
        <v>1.18292</v>
      </c>
      <c r="D77" s="6">
        <f t="shared" si="8"/>
        <v>1.2365900000000001</v>
      </c>
      <c r="E77" s="10">
        <f t="shared" si="9"/>
        <v>1.3100899999999998</v>
      </c>
      <c r="H77">
        <v>5.9890999999999996</v>
      </c>
      <c r="I77">
        <v>6.8292000000000002</v>
      </c>
      <c r="J77">
        <v>7.3658999999999999</v>
      </c>
      <c r="K77">
        <v>8.1008999999999993</v>
      </c>
    </row>
    <row r="78" spans="1:11" x14ac:dyDescent="0.3">
      <c r="A78">
        <f t="shared" si="10"/>
        <v>4.9999999999999966E-3</v>
      </c>
      <c r="B78" s="6">
        <f t="shared" si="6"/>
        <v>1.09015</v>
      </c>
      <c r="C78" s="6">
        <f t="shared" si="7"/>
        <v>1.17387</v>
      </c>
      <c r="D78" s="6">
        <f t="shared" si="8"/>
        <v>1.2253700000000001</v>
      </c>
      <c r="E78" s="10">
        <f t="shared" si="9"/>
        <v>1.29735</v>
      </c>
      <c r="H78">
        <v>5.9015000000000004</v>
      </c>
      <c r="I78">
        <v>6.7386999999999997</v>
      </c>
      <c r="J78">
        <v>7.2537000000000003</v>
      </c>
      <c r="K78">
        <v>7.9734999999999996</v>
      </c>
    </row>
    <row r="79" spans="1:11" x14ac:dyDescent="0.3">
      <c r="A79">
        <f t="shared" si="10"/>
        <v>5.1999999999999963E-3</v>
      </c>
      <c r="B79" s="6">
        <f t="shared" si="6"/>
        <v>1.08179</v>
      </c>
      <c r="C79" s="6">
        <f t="shared" si="7"/>
        <v>1.1649799999999999</v>
      </c>
      <c r="D79" s="6">
        <f t="shared" si="8"/>
        <v>1.2145900000000001</v>
      </c>
      <c r="E79" s="10">
        <f t="shared" si="9"/>
        <v>1.2852999999999999</v>
      </c>
      <c r="H79">
        <v>5.8178999999999998</v>
      </c>
      <c r="I79">
        <v>6.6497999999999999</v>
      </c>
      <c r="J79">
        <v>7.1459000000000001</v>
      </c>
      <c r="K79">
        <v>7.8529999999999998</v>
      </c>
    </row>
    <row r="80" spans="1:11" x14ac:dyDescent="0.3">
      <c r="A80">
        <f t="shared" si="10"/>
        <v>5.3999999999999959E-3</v>
      </c>
      <c r="B80" s="6">
        <f t="shared" si="6"/>
        <v>1.07369</v>
      </c>
      <c r="C80" s="6">
        <f t="shared" si="7"/>
        <v>1.1560999999999999</v>
      </c>
      <c r="D80" s="6">
        <f t="shared" si="8"/>
        <v>1.2039599999999999</v>
      </c>
      <c r="E80" s="10">
        <f t="shared" si="9"/>
        <v>1.2740499999999999</v>
      </c>
      <c r="H80">
        <v>5.7369000000000003</v>
      </c>
      <c r="I80">
        <v>6.5609999999999999</v>
      </c>
      <c r="J80">
        <v>7.0396000000000001</v>
      </c>
      <c r="K80">
        <v>7.7404999999999999</v>
      </c>
    </row>
    <row r="81" spans="1:11" x14ac:dyDescent="0.3">
      <c r="A81">
        <f t="shared" si="10"/>
        <v>5.5999999999999956E-3</v>
      </c>
      <c r="B81" s="6">
        <f t="shared" si="6"/>
        <v>1.0667500000000001</v>
      </c>
      <c r="C81" s="6">
        <f t="shared" si="7"/>
        <v>1.14832</v>
      </c>
      <c r="D81" s="6">
        <f t="shared" si="8"/>
        <v>1.19469</v>
      </c>
      <c r="E81" s="10">
        <f t="shared" si="9"/>
        <v>1.2646299999999999</v>
      </c>
      <c r="H81">
        <v>5.6675000000000004</v>
      </c>
      <c r="I81">
        <v>6.4832000000000001</v>
      </c>
      <c r="J81">
        <v>6.9469000000000003</v>
      </c>
      <c r="K81">
        <v>7.6463000000000001</v>
      </c>
    </row>
    <row r="82" spans="1:11" x14ac:dyDescent="0.3">
      <c r="A82">
        <f t="shared" si="10"/>
        <v>5.7999999999999953E-3</v>
      </c>
      <c r="B82" s="6">
        <f t="shared" si="6"/>
        <v>1.0584899999999999</v>
      </c>
      <c r="C82" s="6">
        <f t="shared" si="7"/>
        <v>1.1389</v>
      </c>
      <c r="D82" s="6">
        <f t="shared" si="8"/>
        <v>1.1835200000000001</v>
      </c>
      <c r="E82" s="10">
        <f t="shared" si="9"/>
        <v>1.25326</v>
      </c>
      <c r="H82">
        <v>5.5849000000000002</v>
      </c>
      <c r="I82">
        <v>6.3890000000000002</v>
      </c>
      <c r="J82">
        <v>6.8352000000000004</v>
      </c>
      <c r="K82">
        <v>7.5326000000000004</v>
      </c>
    </row>
    <row r="83" spans="1:11" x14ac:dyDescent="0.3">
      <c r="A83">
        <f t="shared" si="10"/>
        <v>5.9999999999999949E-3</v>
      </c>
      <c r="B83" s="6">
        <f t="shared" si="6"/>
        <v>1.0515300000000001</v>
      </c>
      <c r="C83" s="6">
        <f t="shared" si="7"/>
        <v>1.13089</v>
      </c>
      <c r="D83" s="6">
        <f t="shared" si="8"/>
        <v>1.17411</v>
      </c>
      <c r="E83" s="10">
        <f t="shared" si="9"/>
        <v>1.2432300000000001</v>
      </c>
      <c r="H83">
        <v>5.5152999999999999</v>
      </c>
      <c r="I83">
        <v>6.3089000000000004</v>
      </c>
      <c r="J83">
        <v>6.7411000000000003</v>
      </c>
      <c r="K83">
        <v>7.4322999999999997</v>
      </c>
    </row>
    <row r="84" spans="1:11" x14ac:dyDescent="0.3">
      <c r="A84">
        <f t="shared" si="10"/>
        <v>6.1999999999999946E-3</v>
      </c>
      <c r="B84" s="6">
        <f t="shared" si="6"/>
        <v>1.0448299999999999</v>
      </c>
      <c r="C84" s="6">
        <f t="shared" si="7"/>
        <v>1.1231599999999999</v>
      </c>
      <c r="D84" s="6">
        <f t="shared" si="8"/>
        <v>1.1651199999999999</v>
      </c>
      <c r="E84" s="10">
        <f t="shared" si="9"/>
        <v>1.2330100000000002</v>
      </c>
      <c r="H84">
        <v>5.4482999999999997</v>
      </c>
      <c r="I84">
        <v>6.2316000000000003</v>
      </c>
      <c r="J84">
        <v>6.6512000000000002</v>
      </c>
      <c r="K84">
        <v>7.3300999999999998</v>
      </c>
    </row>
    <row r="85" spans="1:11" x14ac:dyDescent="0.3">
      <c r="A85">
        <f t="shared" si="10"/>
        <v>6.3999999999999942E-3</v>
      </c>
      <c r="B85" s="6">
        <f t="shared" si="6"/>
        <v>1.03837</v>
      </c>
      <c r="C85" s="6">
        <f t="shared" si="7"/>
        <v>1.1157300000000001</v>
      </c>
      <c r="D85" s="6">
        <f t="shared" si="8"/>
        <v>1.1565799999999999</v>
      </c>
      <c r="E85" s="10">
        <f t="shared" si="9"/>
        <v>1.22285</v>
      </c>
      <c r="H85">
        <v>5.3837000000000002</v>
      </c>
      <c r="I85">
        <v>6.1573000000000002</v>
      </c>
      <c r="J85">
        <v>6.5658000000000003</v>
      </c>
      <c r="K85">
        <v>7.2285000000000004</v>
      </c>
    </row>
    <row r="86" spans="1:11" x14ac:dyDescent="0.3">
      <c r="A86">
        <f t="shared" si="10"/>
        <v>6.5999999999999939E-3</v>
      </c>
      <c r="B86" s="6">
        <f t="shared" si="6"/>
        <v>1.03254</v>
      </c>
      <c r="C86" s="6">
        <f t="shared" si="7"/>
        <v>1.1090399999999998</v>
      </c>
      <c r="D86" s="6">
        <f t="shared" si="8"/>
        <v>1.149</v>
      </c>
      <c r="E86" s="10">
        <f t="shared" si="9"/>
        <v>1.21366</v>
      </c>
      <c r="H86">
        <v>5.3254000000000001</v>
      </c>
      <c r="I86">
        <v>6.0903999999999998</v>
      </c>
      <c r="J86">
        <v>6.49</v>
      </c>
      <c r="K86">
        <v>7.1365999999999996</v>
      </c>
    </row>
    <row r="87" spans="1:11" x14ac:dyDescent="0.3">
      <c r="A87">
        <f t="shared" si="10"/>
        <v>6.7999999999999935E-3</v>
      </c>
      <c r="B87" s="6">
        <f t="shared" si="6"/>
        <v>1.0271300000000001</v>
      </c>
      <c r="C87" s="6">
        <f t="shared" si="7"/>
        <v>1.10276</v>
      </c>
      <c r="D87" s="6">
        <f t="shared" si="8"/>
        <v>1.1419700000000002</v>
      </c>
      <c r="E87" s="10">
        <f t="shared" si="9"/>
        <v>1.2051799999999999</v>
      </c>
      <c r="H87">
        <v>5.2713000000000001</v>
      </c>
      <c r="I87">
        <v>6.0275999999999996</v>
      </c>
      <c r="J87">
        <v>6.4196999999999997</v>
      </c>
      <c r="K87">
        <v>7.0518000000000001</v>
      </c>
    </row>
    <row r="88" spans="1:11" x14ac:dyDescent="0.3">
      <c r="A88">
        <f t="shared" si="10"/>
        <v>6.9999999999999932E-3</v>
      </c>
      <c r="B88" s="6">
        <f t="shared" si="6"/>
        <v>1.02152</v>
      </c>
      <c r="C88" s="6">
        <f t="shared" si="7"/>
        <v>1.0960999999999999</v>
      </c>
      <c r="D88" s="6">
        <f t="shared" si="8"/>
        <v>1.1346099999999999</v>
      </c>
      <c r="E88" s="10">
        <f t="shared" si="9"/>
        <v>1.1965300000000001</v>
      </c>
      <c r="H88">
        <v>5.2152000000000003</v>
      </c>
      <c r="I88">
        <v>5.9610000000000003</v>
      </c>
      <c r="J88">
        <v>6.3460999999999999</v>
      </c>
      <c r="K88">
        <v>6.9653</v>
      </c>
    </row>
    <row r="89" spans="1:11" x14ac:dyDescent="0.3">
      <c r="A89">
        <f t="shared" si="10"/>
        <v>7.1999999999999929E-3</v>
      </c>
      <c r="B89" s="6">
        <f t="shared" si="6"/>
        <v>1.0168200000000001</v>
      </c>
      <c r="C89" s="6">
        <f t="shared" si="7"/>
        <v>1.0903400000000001</v>
      </c>
      <c r="D89" s="6">
        <f t="shared" si="8"/>
        <v>1.1282700000000001</v>
      </c>
      <c r="E89" s="10">
        <f t="shared" si="9"/>
        <v>1.1892800000000001</v>
      </c>
      <c r="H89">
        <v>5.1681999999999997</v>
      </c>
      <c r="I89">
        <v>5.9034000000000004</v>
      </c>
      <c r="J89">
        <v>6.2827000000000002</v>
      </c>
      <c r="K89">
        <v>6.8928000000000003</v>
      </c>
    </row>
    <row r="90" spans="1:11" x14ac:dyDescent="0.3">
      <c r="A90">
        <f t="shared" si="10"/>
        <v>7.3999999999999925E-3</v>
      </c>
      <c r="B90" s="6">
        <f t="shared" si="6"/>
        <v>1.0119799999999999</v>
      </c>
      <c r="C90" s="6">
        <f t="shared" si="7"/>
        <v>1.0842399999999999</v>
      </c>
      <c r="D90" s="6">
        <f t="shared" si="8"/>
        <v>1.1215999999999999</v>
      </c>
      <c r="E90" s="10">
        <f t="shared" si="9"/>
        <v>1.1817600000000001</v>
      </c>
      <c r="H90">
        <v>5.1197999999999997</v>
      </c>
      <c r="I90">
        <v>5.8423999999999996</v>
      </c>
      <c r="J90">
        <v>6.2160000000000002</v>
      </c>
      <c r="K90">
        <v>6.8175999999999997</v>
      </c>
    </row>
    <row r="91" spans="1:11" x14ac:dyDescent="0.3">
      <c r="A91">
        <f t="shared" si="10"/>
        <v>7.5999999999999922E-3</v>
      </c>
      <c r="B91" s="6">
        <f t="shared" si="6"/>
        <v>1.00787</v>
      </c>
      <c r="C91" s="6">
        <f t="shared" si="7"/>
        <v>1.0789500000000001</v>
      </c>
      <c r="D91" s="6">
        <f t="shared" si="8"/>
        <v>1.11582</v>
      </c>
      <c r="E91" s="10">
        <f t="shared" si="9"/>
        <v>1.1752899999999999</v>
      </c>
      <c r="H91">
        <v>5.0787000000000004</v>
      </c>
      <c r="I91">
        <v>5.7895000000000003</v>
      </c>
      <c r="J91">
        <v>6.1581999999999999</v>
      </c>
      <c r="K91">
        <v>6.7529000000000003</v>
      </c>
    </row>
    <row r="92" spans="1:11" x14ac:dyDescent="0.3">
      <c r="A92">
        <f t="shared" si="10"/>
        <v>7.7999999999999918E-3</v>
      </c>
      <c r="B92" s="6">
        <f t="shared" si="6"/>
        <v>1.00366</v>
      </c>
      <c r="C92" s="6">
        <f t="shared" si="7"/>
        <v>1.0734699999999999</v>
      </c>
      <c r="D92" s="6">
        <f t="shared" si="8"/>
        <v>1.10982</v>
      </c>
      <c r="E92" s="10">
        <f t="shared" si="9"/>
        <v>1.1685699999999999</v>
      </c>
      <c r="H92">
        <v>5.0366</v>
      </c>
      <c r="I92">
        <v>5.7347000000000001</v>
      </c>
      <c r="J92">
        <v>6.0982000000000003</v>
      </c>
      <c r="K92">
        <v>6.6856999999999998</v>
      </c>
    </row>
    <row r="93" spans="1:11" x14ac:dyDescent="0.3">
      <c r="A93">
        <f t="shared" si="10"/>
        <v>7.9999999999999915E-3</v>
      </c>
      <c r="B93" s="6">
        <f t="shared" si="6"/>
        <v>1.0005200000000001</v>
      </c>
      <c r="C93" s="6">
        <f t="shared" si="7"/>
        <v>1.06935</v>
      </c>
      <c r="D93" s="6">
        <f t="shared" si="8"/>
        <v>1.10531</v>
      </c>
      <c r="E93" s="10">
        <f t="shared" si="9"/>
        <v>1.1634899999999999</v>
      </c>
      <c r="H93">
        <v>5.0052000000000003</v>
      </c>
      <c r="I93">
        <v>5.6935000000000002</v>
      </c>
      <c r="J93">
        <v>6.0530999999999997</v>
      </c>
      <c r="K93">
        <v>6.6349</v>
      </c>
    </row>
    <row r="94" spans="1:11" x14ac:dyDescent="0.3">
      <c r="A94">
        <f t="shared" si="10"/>
        <v>8.199999999999992E-3</v>
      </c>
      <c r="B94" s="6">
        <f t="shared" si="6"/>
        <v>0.99590000000000001</v>
      </c>
      <c r="C94" s="6">
        <f t="shared" si="7"/>
        <v>1.06332</v>
      </c>
      <c r="D94" s="6">
        <f t="shared" si="8"/>
        <v>1.0986899999999999</v>
      </c>
      <c r="E94" s="10">
        <f t="shared" si="9"/>
        <v>1.15601</v>
      </c>
      <c r="H94">
        <v>4.9589999999999996</v>
      </c>
      <c r="I94">
        <v>5.6332000000000004</v>
      </c>
      <c r="J94">
        <v>5.9869000000000003</v>
      </c>
      <c r="K94">
        <v>6.5601000000000003</v>
      </c>
    </row>
    <row r="95" spans="1:11" x14ac:dyDescent="0.3">
      <c r="A95">
        <f t="shared" si="10"/>
        <v>8.3999999999999925E-3</v>
      </c>
      <c r="B95" s="6">
        <f t="shared" si="6"/>
        <v>0.99255000000000004</v>
      </c>
      <c r="C95" s="6">
        <f t="shared" si="7"/>
        <v>1.0589599999999999</v>
      </c>
      <c r="D95" s="6">
        <f t="shared" si="8"/>
        <v>1.09389</v>
      </c>
      <c r="E95" s="10">
        <f t="shared" si="9"/>
        <v>1.15055</v>
      </c>
      <c r="H95">
        <v>4.9255000000000004</v>
      </c>
      <c r="I95">
        <v>5.5895999999999999</v>
      </c>
      <c r="J95">
        <v>5.9389000000000003</v>
      </c>
      <c r="K95">
        <v>6.5054999999999996</v>
      </c>
    </row>
    <row r="96" spans="1:11" x14ac:dyDescent="0.3">
      <c r="A96">
        <f t="shared" si="10"/>
        <v>8.5999999999999931E-3</v>
      </c>
      <c r="B96" s="6">
        <f t="shared" si="6"/>
        <v>0.9887999999999999</v>
      </c>
      <c r="C96" s="6">
        <f t="shared" si="7"/>
        <v>1.0540600000000002</v>
      </c>
      <c r="D96" s="6">
        <f t="shared" si="8"/>
        <v>1.0884800000000001</v>
      </c>
      <c r="E96" s="10">
        <f t="shared" si="9"/>
        <v>1.1443699999999999</v>
      </c>
      <c r="H96">
        <v>4.8879999999999999</v>
      </c>
      <c r="I96">
        <v>5.5406000000000004</v>
      </c>
      <c r="J96">
        <v>5.8848000000000003</v>
      </c>
      <c r="K96">
        <v>6.4436999999999998</v>
      </c>
    </row>
    <row r="97" spans="1:11" x14ac:dyDescent="0.3">
      <c r="A97">
        <f t="shared" si="10"/>
        <v>8.7999999999999936E-3</v>
      </c>
      <c r="B97" s="6">
        <f t="shared" si="6"/>
        <v>0.98564000000000007</v>
      </c>
      <c r="C97" s="6">
        <f t="shared" si="7"/>
        <v>1.0499100000000001</v>
      </c>
      <c r="D97" s="6">
        <f t="shared" si="8"/>
        <v>1.0838700000000001</v>
      </c>
      <c r="E97" s="10">
        <f t="shared" si="9"/>
        <v>1.1391</v>
      </c>
      <c r="H97">
        <v>4.8563999999999998</v>
      </c>
      <c r="I97">
        <v>5.4991000000000003</v>
      </c>
      <c r="J97">
        <v>5.8387000000000002</v>
      </c>
      <c r="K97">
        <v>6.391</v>
      </c>
    </row>
    <row r="98" spans="1:11" x14ac:dyDescent="0.3">
      <c r="A98">
        <f t="shared" si="10"/>
        <v>8.9999999999999941E-3</v>
      </c>
      <c r="B98" s="6">
        <f t="shared" si="6"/>
        <v>0.98255999999999999</v>
      </c>
      <c r="C98" s="6">
        <f t="shared" si="7"/>
        <v>1.04582</v>
      </c>
      <c r="D98" s="6">
        <f t="shared" si="8"/>
        <v>1.07934</v>
      </c>
      <c r="E98" s="10">
        <f t="shared" si="9"/>
        <v>1.13388</v>
      </c>
      <c r="H98">
        <v>4.8255999999999997</v>
      </c>
      <c r="I98">
        <v>5.4581999999999997</v>
      </c>
      <c r="J98">
        <v>5.7934000000000001</v>
      </c>
      <c r="K98">
        <v>6.3388</v>
      </c>
    </row>
    <row r="99" spans="1:11" x14ac:dyDescent="0.3">
      <c r="A99">
        <f t="shared" si="10"/>
        <v>9.1999999999999946E-3</v>
      </c>
      <c r="B99" s="6">
        <f t="shared" si="6"/>
        <v>0.97923000000000004</v>
      </c>
      <c r="C99" s="6">
        <f t="shared" si="7"/>
        <v>1.0413000000000001</v>
      </c>
      <c r="D99" s="6">
        <f t="shared" si="8"/>
        <v>1.0743499999999999</v>
      </c>
      <c r="E99" s="10">
        <f t="shared" si="9"/>
        <v>1.1280899999999998</v>
      </c>
      <c r="H99">
        <v>4.7923</v>
      </c>
      <c r="I99">
        <v>5.4130000000000003</v>
      </c>
      <c r="J99">
        <v>5.7435</v>
      </c>
      <c r="K99">
        <v>6.2808999999999999</v>
      </c>
    </row>
    <row r="100" spans="1:11" x14ac:dyDescent="0.3">
      <c r="A100">
        <f t="shared" si="10"/>
        <v>9.3999999999999952E-3</v>
      </c>
      <c r="B100" s="6">
        <f t="shared" si="6"/>
        <v>0.97677999999999998</v>
      </c>
      <c r="C100" s="6">
        <f t="shared" si="7"/>
        <v>1.0379200000000002</v>
      </c>
      <c r="D100" s="6">
        <f t="shared" si="8"/>
        <v>1.0706500000000001</v>
      </c>
      <c r="E100" s="10">
        <f t="shared" si="9"/>
        <v>1.1237599999999999</v>
      </c>
      <c r="H100">
        <v>4.7678000000000003</v>
      </c>
      <c r="I100">
        <v>5.3792</v>
      </c>
      <c r="J100">
        <v>5.7065000000000001</v>
      </c>
      <c r="K100">
        <v>6.2375999999999996</v>
      </c>
    </row>
    <row r="101" spans="1:11" x14ac:dyDescent="0.3">
      <c r="A101">
        <f t="shared" si="10"/>
        <v>9.5999999999999957E-3</v>
      </c>
      <c r="B101" s="6">
        <f t="shared" si="6"/>
        <v>0.97442000000000006</v>
      </c>
      <c r="C101" s="6">
        <f t="shared" si="7"/>
        <v>1.03461</v>
      </c>
      <c r="D101" s="6">
        <f t="shared" si="8"/>
        <v>1.0670299999999999</v>
      </c>
      <c r="E101" s="10">
        <f t="shared" si="9"/>
        <v>1.1194999999999999</v>
      </c>
      <c r="H101">
        <v>4.7442000000000002</v>
      </c>
      <c r="I101">
        <v>5.3460999999999999</v>
      </c>
      <c r="J101">
        <v>5.6703000000000001</v>
      </c>
      <c r="K101">
        <v>6.1950000000000003</v>
      </c>
    </row>
    <row r="102" spans="1:11" x14ac:dyDescent="0.3">
      <c r="A102">
        <f t="shared" si="10"/>
        <v>9.7999999999999962E-3</v>
      </c>
      <c r="B102" s="6">
        <f t="shared" si="6"/>
        <v>0.97171000000000007</v>
      </c>
      <c r="C102" s="6">
        <f t="shared" si="7"/>
        <v>1.03071</v>
      </c>
      <c r="D102" s="6">
        <f t="shared" si="8"/>
        <v>1.06281</v>
      </c>
      <c r="E102" s="10">
        <f t="shared" si="9"/>
        <v>1.1144799999999999</v>
      </c>
      <c r="H102">
        <v>4.7171000000000003</v>
      </c>
      <c r="I102">
        <v>5.3071000000000002</v>
      </c>
      <c r="J102">
        <v>5.6280999999999999</v>
      </c>
      <c r="K102">
        <v>6.1448</v>
      </c>
    </row>
    <row r="103" spans="1:11" s="5" customFormat="1" x14ac:dyDescent="0.3">
      <c r="A103" s="5">
        <f t="shared" si="10"/>
        <v>9.9999999999999967E-3</v>
      </c>
      <c r="B103" s="6">
        <f t="shared" si="6"/>
        <v>0.96907999999999994</v>
      </c>
      <c r="C103" s="6">
        <f t="shared" si="7"/>
        <v>1.02685</v>
      </c>
      <c r="D103" s="6">
        <f t="shared" si="8"/>
        <v>1.0586500000000001</v>
      </c>
      <c r="E103" s="10">
        <f t="shared" si="9"/>
        <v>1.1094999999999999</v>
      </c>
      <c r="H103" s="5">
        <v>4.6908000000000003</v>
      </c>
      <c r="I103" s="5">
        <v>5.2685000000000004</v>
      </c>
      <c r="J103" s="5">
        <v>5.5865</v>
      </c>
      <c r="K103" s="5">
        <v>6.0949999999999998</v>
      </c>
    </row>
    <row r="104" spans="1:11" x14ac:dyDescent="0.3">
      <c r="A104">
        <f>A103+0.001</f>
        <v>1.0999999999999996E-2</v>
      </c>
      <c r="B104" s="6">
        <f t="shared" si="6"/>
        <v>0.95921000000000012</v>
      </c>
      <c r="C104" s="6">
        <f t="shared" si="7"/>
        <v>1.0111399999999999</v>
      </c>
      <c r="D104" s="6">
        <f t="shared" si="8"/>
        <v>1.0414699999999999</v>
      </c>
      <c r="E104" s="10">
        <f t="shared" si="9"/>
        <v>1.0889199999999999</v>
      </c>
      <c r="H104">
        <v>4.5921000000000003</v>
      </c>
      <c r="I104">
        <v>5.1113999999999997</v>
      </c>
      <c r="J104">
        <v>5.4146999999999998</v>
      </c>
      <c r="K104">
        <v>5.8891999999999998</v>
      </c>
    </row>
    <row r="105" spans="1:11" x14ac:dyDescent="0.3">
      <c r="A105">
        <f t="shared" ref="A105:A123" si="11">A104+0.001</f>
        <v>1.1999999999999997E-2</v>
      </c>
      <c r="B105" s="6">
        <f t="shared" si="6"/>
        <v>0.95299</v>
      </c>
      <c r="C105" s="6">
        <f t="shared" si="7"/>
        <v>0.99892999999999998</v>
      </c>
      <c r="D105" s="6">
        <f t="shared" si="8"/>
        <v>1.0277000000000001</v>
      </c>
      <c r="E105" s="10">
        <f t="shared" si="9"/>
        <v>1.07239</v>
      </c>
      <c r="H105">
        <v>4.5298999999999996</v>
      </c>
      <c r="I105">
        <v>4.9893000000000001</v>
      </c>
      <c r="J105">
        <v>5.2770000000000001</v>
      </c>
      <c r="K105">
        <v>5.7239000000000004</v>
      </c>
    </row>
    <row r="106" spans="1:11" x14ac:dyDescent="0.3">
      <c r="A106">
        <f t="shared" si="11"/>
        <v>1.2999999999999998E-2</v>
      </c>
      <c r="B106" s="6">
        <f t="shared" si="6"/>
        <v>0.94829000000000008</v>
      </c>
      <c r="C106" s="6">
        <f t="shared" si="7"/>
        <v>0.98794000000000004</v>
      </c>
      <c r="D106" s="6">
        <f t="shared" si="8"/>
        <v>1.0158200000000002</v>
      </c>
      <c r="E106" s="10">
        <f t="shared" si="9"/>
        <v>1.05714</v>
      </c>
      <c r="H106">
        <v>4.4828999999999999</v>
      </c>
      <c r="I106">
        <v>4.8794000000000004</v>
      </c>
      <c r="J106">
        <v>5.1581999999999999</v>
      </c>
      <c r="K106">
        <v>5.5713999999999997</v>
      </c>
    </row>
    <row r="107" spans="1:11" x14ac:dyDescent="0.3">
      <c r="A107">
        <f t="shared" si="11"/>
        <v>1.3999999999999999E-2</v>
      </c>
      <c r="B107" s="6">
        <f t="shared" si="6"/>
        <v>0.94489999999999996</v>
      </c>
      <c r="C107" s="6">
        <f t="shared" si="7"/>
        <v>0.97925000000000006</v>
      </c>
      <c r="D107" s="6">
        <f t="shared" si="8"/>
        <v>1.0073099999999999</v>
      </c>
      <c r="E107" s="10">
        <f t="shared" si="9"/>
        <v>1.04487</v>
      </c>
      <c r="H107">
        <v>4.4489999999999998</v>
      </c>
      <c r="I107">
        <v>4.7925000000000004</v>
      </c>
      <c r="J107">
        <v>5.0731000000000002</v>
      </c>
      <c r="K107">
        <v>5.4486999999999997</v>
      </c>
    </row>
    <row r="108" spans="1:11" x14ac:dyDescent="0.3">
      <c r="A108">
        <f t="shared" si="11"/>
        <v>1.4999999999999999E-2</v>
      </c>
      <c r="B108" s="6">
        <f t="shared" si="6"/>
        <v>0.94299999999999995</v>
      </c>
      <c r="C108" s="6">
        <f t="shared" si="7"/>
        <v>0.97238000000000002</v>
      </c>
      <c r="D108" s="6">
        <f t="shared" si="8"/>
        <v>1.0003</v>
      </c>
      <c r="E108" s="10">
        <f t="shared" si="9"/>
        <v>1.0341999999999998</v>
      </c>
      <c r="H108">
        <v>4.43</v>
      </c>
      <c r="I108">
        <v>4.7237999999999998</v>
      </c>
      <c r="J108">
        <v>5.0030000000000001</v>
      </c>
      <c r="K108">
        <v>5.3419999999999996</v>
      </c>
    </row>
    <row r="109" spans="1:11" x14ac:dyDescent="0.3">
      <c r="A109">
        <f t="shared" si="11"/>
        <v>1.6E-2</v>
      </c>
      <c r="B109" s="6">
        <f t="shared" si="6"/>
        <v>0.94291999999999998</v>
      </c>
      <c r="C109" s="6">
        <f t="shared" si="7"/>
        <v>0.96789999999999998</v>
      </c>
      <c r="D109" s="6">
        <f t="shared" si="8"/>
        <v>0.99424000000000001</v>
      </c>
      <c r="E109" s="10">
        <f t="shared" si="9"/>
        <v>1.0250900000000001</v>
      </c>
      <c r="H109">
        <v>4.4291999999999998</v>
      </c>
      <c r="I109">
        <v>4.6790000000000003</v>
      </c>
      <c r="J109">
        <v>4.9424000000000001</v>
      </c>
      <c r="K109">
        <v>5.2508999999999997</v>
      </c>
    </row>
    <row r="110" spans="1:11" x14ac:dyDescent="0.3">
      <c r="A110">
        <f t="shared" si="11"/>
        <v>1.7000000000000001E-2</v>
      </c>
      <c r="B110" s="6">
        <f t="shared" si="6"/>
        <v>0.94360999999999995</v>
      </c>
      <c r="C110" s="6">
        <f t="shared" si="7"/>
        <v>0.96513000000000004</v>
      </c>
      <c r="D110" s="6">
        <f t="shared" si="8"/>
        <v>0.98879000000000006</v>
      </c>
      <c r="E110" s="10">
        <f t="shared" si="9"/>
        <v>1.01719</v>
      </c>
      <c r="H110">
        <v>4.4360999999999997</v>
      </c>
      <c r="I110">
        <v>4.6513</v>
      </c>
      <c r="J110">
        <v>4.8879000000000001</v>
      </c>
      <c r="K110">
        <v>5.1718999999999999</v>
      </c>
    </row>
    <row r="111" spans="1:11" x14ac:dyDescent="0.3">
      <c r="A111">
        <f t="shared" si="11"/>
        <v>1.8000000000000002E-2</v>
      </c>
      <c r="B111" s="6">
        <f t="shared" si="6"/>
        <v>0.94435999999999998</v>
      </c>
      <c r="C111" s="6">
        <f t="shared" si="7"/>
        <v>0.96292</v>
      </c>
      <c r="D111" s="6">
        <f t="shared" si="8"/>
        <v>0.98408000000000007</v>
      </c>
      <c r="E111" s="10">
        <f t="shared" si="9"/>
        <v>1.0100899999999999</v>
      </c>
      <c r="H111">
        <v>4.4436</v>
      </c>
      <c r="I111">
        <v>4.6292</v>
      </c>
      <c r="J111">
        <v>4.8407999999999998</v>
      </c>
      <c r="K111">
        <v>5.1009000000000002</v>
      </c>
    </row>
    <row r="112" spans="1:11" x14ac:dyDescent="0.3">
      <c r="A112">
        <f t="shared" si="11"/>
        <v>1.9000000000000003E-2</v>
      </c>
      <c r="B112" s="6">
        <f t="shared" si="6"/>
        <v>0.94550000000000001</v>
      </c>
      <c r="C112" s="6"/>
      <c r="D112" s="6">
        <f t="shared" si="8"/>
        <v>0.98092000000000001</v>
      </c>
      <c r="E112" s="10">
        <f t="shared" si="9"/>
        <v>1.00475</v>
      </c>
      <c r="H112">
        <v>4.4550000000000001</v>
      </c>
      <c r="J112">
        <v>4.8091999999999997</v>
      </c>
      <c r="K112">
        <v>5.0475000000000003</v>
      </c>
    </row>
    <row r="113" spans="1:11" x14ac:dyDescent="0.3">
      <c r="A113">
        <f t="shared" si="11"/>
        <v>2.0000000000000004E-2</v>
      </c>
      <c r="B113" s="6">
        <f t="shared" si="6"/>
        <v>0.94760999999999995</v>
      </c>
      <c r="C113" s="6"/>
      <c r="D113" s="6">
        <f t="shared" si="8"/>
        <v>0.97933000000000003</v>
      </c>
      <c r="E113" s="10">
        <f t="shared" si="9"/>
        <v>1.0010400000000002</v>
      </c>
      <c r="H113">
        <v>4.4760999999999997</v>
      </c>
      <c r="J113">
        <v>4.7933000000000003</v>
      </c>
      <c r="K113">
        <v>5.0103999999999997</v>
      </c>
    </row>
    <row r="114" spans="1:11" x14ac:dyDescent="0.3">
      <c r="A114">
        <f t="shared" si="11"/>
        <v>2.1000000000000005E-2</v>
      </c>
      <c r="B114" s="6">
        <f t="shared" si="6"/>
        <v>0.95053999999999994</v>
      </c>
      <c r="C114" s="6"/>
      <c r="D114" s="6">
        <f t="shared" si="8"/>
        <v>0.97885</v>
      </c>
      <c r="E114" s="10">
        <f t="shared" si="9"/>
        <v>0.99870000000000003</v>
      </c>
      <c r="H114">
        <v>4.5053999999999998</v>
      </c>
      <c r="J114">
        <v>4.7885</v>
      </c>
      <c r="K114">
        <v>4.9870000000000001</v>
      </c>
    </row>
    <row r="115" spans="1:11" x14ac:dyDescent="0.3">
      <c r="A115">
        <f t="shared" si="11"/>
        <v>2.2000000000000006E-2</v>
      </c>
      <c r="B115" s="6">
        <f t="shared" si="6"/>
        <v>0.95490000000000008</v>
      </c>
      <c r="C115" s="6"/>
      <c r="D115" s="6">
        <f t="shared" si="8"/>
        <v>0.97876000000000007</v>
      </c>
      <c r="E115" s="10">
        <f t="shared" si="9"/>
        <v>0.99656000000000011</v>
      </c>
      <c r="H115">
        <v>4.5490000000000004</v>
      </c>
      <c r="J115">
        <v>4.7876000000000003</v>
      </c>
      <c r="K115">
        <v>4.9656000000000002</v>
      </c>
    </row>
    <row r="116" spans="1:11" x14ac:dyDescent="0.3">
      <c r="A116">
        <f t="shared" si="11"/>
        <v>2.3000000000000007E-2</v>
      </c>
      <c r="B116" s="6">
        <f t="shared" si="6"/>
        <v>0.95951999999999993</v>
      </c>
      <c r="C116" s="6"/>
      <c r="D116" s="6"/>
      <c r="E116" s="10">
        <f t="shared" si="9"/>
        <v>0.99485000000000001</v>
      </c>
      <c r="H116">
        <v>4.5952000000000002</v>
      </c>
      <c r="K116">
        <v>4.9485000000000001</v>
      </c>
    </row>
    <row r="117" spans="1:11" x14ac:dyDescent="0.3">
      <c r="A117">
        <f t="shared" si="11"/>
        <v>2.4000000000000007E-2</v>
      </c>
      <c r="B117" s="6">
        <f t="shared" si="6"/>
        <v>0.96415000000000006</v>
      </c>
      <c r="C117" s="6"/>
      <c r="D117" s="6"/>
      <c r="E117" s="10">
        <f t="shared" si="9"/>
        <v>0.99370000000000003</v>
      </c>
      <c r="H117">
        <v>4.6414999999999997</v>
      </c>
      <c r="K117">
        <v>4.9370000000000003</v>
      </c>
    </row>
    <row r="118" spans="1:11" x14ac:dyDescent="0.3">
      <c r="A118">
        <f>A117+0.001</f>
        <v>2.5000000000000008E-2</v>
      </c>
      <c r="B118" s="6">
        <f t="shared" si="6"/>
        <v>0.96948999999999996</v>
      </c>
      <c r="C118" s="6"/>
      <c r="D118" s="6"/>
      <c r="E118" s="10">
        <f t="shared" si="9"/>
        <v>0.99309000000000003</v>
      </c>
      <c r="H118">
        <v>4.6948999999999996</v>
      </c>
      <c r="K118">
        <v>4.9309000000000003</v>
      </c>
    </row>
    <row r="119" spans="1:11" x14ac:dyDescent="0.3">
      <c r="A119">
        <f t="shared" si="11"/>
        <v>2.6000000000000009E-2</v>
      </c>
      <c r="B119" s="6">
        <f t="shared" si="6"/>
        <v>0.9750700000000001</v>
      </c>
      <c r="C119" s="6"/>
      <c r="D119" s="6"/>
      <c r="E119" s="10">
        <f t="shared" si="9"/>
        <v>0.99282999999999999</v>
      </c>
      <c r="H119">
        <v>4.7507000000000001</v>
      </c>
      <c r="K119">
        <v>4.9283000000000001</v>
      </c>
    </row>
    <row r="120" spans="1:11" x14ac:dyDescent="0.3">
      <c r="A120">
        <f t="shared" si="11"/>
        <v>2.700000000000001E-2</v>
      </c>
      <c r="B120" s="6">
        <f t="shared" si="6"/>
        <v>0.98202</v>
      </c>
      <c r="C120" s="6"/>
      <c r="D120" s="6"/>
      <c r="E120" s="10"/>
      <c r="H120">
        <v>4.8201999999999998</v>
      </c>
    </row>
    <row r="121" spans="1:11" x14ac:dyDescent="0.3">
      <c r="A121">
        <f t="shared" si="11"/>
        <v>2.8000000000000011E-2</v>
      </c>
      <c r="B121" s="6">
        <f t="shared" si="6"/>
        <v>0.98851</v>
      </c>
      <c r="C121" s="6"/>
      <c r="D121" s="6"/>
      <c r="E121" s="10"/>
      <c r="H121">
        <v>4.8851000000000004</v>
      </c>
    </row>
    <row r="122" spans="1:11" x14ac:dyDescent="0.3">
      <c r="A122">
        <f t="shared" si="11"/>
        <v>2.9000000000000012E-2</v>
      </c>
      <c r="B122" s="6"/>
      <c r="C122" s="6"/>
      <c r="D122" s="6"/>
      <c r="E122" s="10"/>
    </row>
    <row r="123" spans="1:11" x14ac:dyDescent="0.3">
      <c r="A123">
        <f t="shared" si="11"/>
        <v>3.0000000000000013E-2</v>
      </c>
      <c r="B123" s="6"/>
      <c r="C123" s="6"/>
      <c r="D123" s="6"/>
      <c r="E123" s="10"/>
    </row>
  </sheetData>
  <mergeCells count="3">
    <mergeCell ref="B2:E2"/>
    <mergeCell ref="H2:K2"/>
    <mergeCell ref="A2:A3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Ns3_B&amp;D</vt:lpstr>
      <vt:lpstr>SPM_Figure 7-2</vt:lpstr>
      <vt:lpstr>SPM_Figure 7-3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JTLEE</dc:creator>
  <cp:lastModifiedBy>JTLEE</cp:lastModifiedBy>
  <dcterms:created xsi:type="dcterms:W3CDTF">2026-07-01T08:28:28Z</dcterms:created>
  <dcterms:modified xsi:type="dcterms:W3CDTF">2026-07-08T08:20:59Z</dcterms:modified>
</cp:coreProperties>
</file>