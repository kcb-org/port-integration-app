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김창보\Desktop\armor-app\"/>
    </mc:Choice>
  </mc:AlternateContent>
  <bookViews>
    <workbookView xWindow="0" yWindow="0" windowWidth="28800" windowHeight="12135"/>
  </bookViews>
  <sheets>
    <sheet name="KDS 도참 4-20b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" i="4" l="1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D28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B25" i="4"/>
  <c r="B26" i="4"/>
  <c r="B27" i="4"/>
  <c r="B28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E4" i="4"/>
  <c r="D4" i="4"/>
  <c r="C4" i="4"/>
  <c r="B4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</calcChain>
</file>

<file path=xl/sharedStrings.xml><?xml version="1.0" encoding="utf-8"?>
<sst xmlns="http://schemas.openxmlformats.org/spreadsheetml/2006/main" count="11" uniqueCount="6">
  <si>
    <t>Ho'/Lo</t>
    <phoneticPr fontId="1" type="noConversion"/>
  </si>
  <si>
    <t>1/10</t>
    <phoneticPr fontId="1" type="noConversion"/>
  </si>
  <si>
    <t>1/20</t>
    <phoneticPr fontId="1" type="noConversion"/>
  </si>
  <si>
    <t>1/30</t>
    <phoneticPr fontId="1" type="noConversion"/>
  </si>
  <si>
    <t>1/100</t>
    <phoneticPr fontId="1" type="noConversion"/>
  </si>
  <si>
    <t>해저경사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</si>
</sst>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176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'KDS 도참 4-20b'!$B$3</c:f>
              <c:strCache>
                <c:ptCount val="1"/>
                <c:pt idx="0">
                  <c:v>1/10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'KDS 도참 4-20b'!$A$4:$A$31</c:f>
              <c:numCache>
                <c:formatCode>General</c:formatCode>
                <c:ptCount val="28"/>
                <c:pt idx="0">
                  <c:v>2E-3</c:v>
                </c:pt>
                <c:pt idx="1">
                  <c:v>2.5000000000000001E-3</c:v>
                </c:pt>
                <c:pt idx="2">
                  <c:v>3.0000000000000001E-3</c:v>
                </c:pt>
                <c:pt idx="3">
                  <c:v>3.5000000000000001E-3</c:v>
                </c:pt>
                <c:pt idx="4">
                  <c:v>4.0000000000000001E-3</c:v>
                </c:pt>
                <c:pt idx="5">
                  <c:v>4.5000000000000005E-3</c:v>
                </c:pt>
                <c:pt idx="6">
                  <c:v>5.000000000000001E-3</c:v>
                </c:pt>
                <c:pt idx="7">
                  <c:v>6.000000000000001E-3</c:v>
                </c:pt>
                <c:pt idx="8">
                  <c:v>7.000000000000001E-3</c:v>
                </c:pt>
                <c:pt idx="9">
                  <c:v>8.0000000000000002E-3</c:v>
                </c:pt>
                <c:pt idx="10">
                  <c:v>9.0000000000000011E-3</c:v>
                </c:pt>
                <c:pt idx="11">
                  <c:v>1.0000000000000002E-2</c:v>
                </c:pt>
                <c:pt idx="12">
                  <c:v>1.2000000000000002E-2</c:v>
                </c:pt>
                <c:pt idx="13">
                  <c:v>1.4000000000000002E-2</c:v>
                </c:pt>
                <c:pt idx="14">
                  <c:v>1.6E-2</c:v>
                </c:pt>
                <c:pt idx="15">
                  <c:v>1.8000000000000002E-2</c:v>
                </c:pt>
                <c:pt idx="16">
                  <c:v>2.0000000000000004E-2</c:v>
                </c:pt>
                <c:pt idx="17">
                  <c:v>2.5000000000000005E-2</c:v>
                </c:pt>
                <c:pt idx="18">
                  <c:v>3.0000000000000006E-2</c:v>
                </c:pt>
                <c:pt idx="19">
                  <c:v>3.5000000000000003E-2</c:v>
                </c:pt>
                <c:pt idx="20">
                  <c:v>0.04</c:v>
                </c:pt>
                <c:pt idx="21">
                  <c:v>4.4999999999999998E-2</c:v>
                </c:pt>
                <c:pt idx="22">
                  <c:v>4.9999999999999996E-2</c:v>
                </c:pt>
                <c:pt idx="23">
                  <c:v>0.06</c:v>
                </c:pt>
                <c:pt idx="24">
                  <c:v>6.9999999999999993E-2</c:v>
                </c:pt>
                <c:pt idx="25">
                  <c:v>7.9999999999999988E-2</c:v>
                </c:pt>
                <c:pt idx="26">
                  <c:v>8.9999999999999983E-2</c:v>
                </c:pt>
                <c:pt idx="27">
                  <c:v>9.9999999999999978E-2</c:v>
                </c:pt>
              </c:numCache>
            </c:numRef>
          </c:xVal>
          <c:yVal>
            <c:numRef>
              <c:f>'KDS 도참 4-20b'!$B$4:$B$31</c:f>
              <c:numCache>
                <c:formatCode>0.000</c:formatCode>
                <c:ptCount val="28"/>
                <c:pt idx="0">
                  <c:v>2.83941</c:v>
                </c:pt>
                <c:pt idx="1">
                  <c:v>2.6782300000000001</c:v>
                </c:pt>
                <c:pt idx="2">
                  <c:v>2.5345800000000001</c:v>
                </c:pt>
                <c:pt idx="3">
                  <c:v>2.4335399999999998</c:v>
                </c:pt>
                <c:pt idx="4">
                  <c:v>2.33351</c:v>
                </c:pt>
                <c:pt idx="5">
                  <c:v>2.2636500000000002</c:v>
                </c:pt>
                <c:pt idx="6">
                  <c:v>2.1938599999999999</c:v>
                </c:pt>
                <c:pt idx="7">
                  <c:v>2.0830099999999998</c:v>
                </c:pt>
                <c:pt idx="8">
                  <c:v>2</c:v>
                </c:pt>
                <c:pt idx="9">
                  <c:v>1.9300600000000001</c:v>
                </c:pt>
                <c:pt idx="10">
                  <c:v>1.8647499999999999</c:v>
                </c:pt>
                <c:pt idx="11">
                  <c:v>1.8120099999999999</c:v>
                </c:pt>
                <c:pt idx="12">
                  <c:v>1.7335</c:v>
                </c:pt>
                <c:pt idx="13">
                  <c:v>1.6654200000000001</c:v>
                </c:pt>
                <c:pt idx="14">
                  <c:v>1.6174500000000001</c:v>
                </c:pt>
                <c:pt idx="15">
                  <c:v>1.57761</c:v>
                </c:pt>
                <c:pt idx="16">
                  <c:v>1.5425200000000001</c:v>
                </c:pt>
                <c:pt idx="17">
                  <c:v>1.4922599999999999</c:v>
                </c:pt>
                <c:pt idx="18">
                  <c:v>1.4625900000000001</c:v>
                </c:pt>
                <c:pt idx="19">
                  <c:v>1.4483300000000001</c:v>
                </c:pt>
                <c:pt idx="20">
                  <c:v>1.4458500000000001</c:v>
                </c:pt>
                <c:pt idx="21">
                  <c:v>1.4524300000000001</c:v>
                </c:pt>
                <c:pt idx="22">
                  <c:v>1.4754499999999999</c:v>
                </c:pt>
                <c:pt idx="23">
                  <c:v>1.54792</c:v>
                </c:pt>
                <c:pt idx="24">
                  <c:v>1.65001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1EB-4C31-9CED-6C7CC3CCCE42}"/>
            </c:ext>
          </c:extLst>
        </c:ser>
        <c:ser>
          <c:idx val="1"/>
          <c:order val="1"/>
          <c:tx>
            <c:strRef>
              <c:f>'KDS 도참 4-20b'!$C$3</c:f>
              <c:strCache>
                <c:ptCount val="1"/>
                <c:pt idx="0">
                  <c:v>1/20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'KDS 도참 4-20b'!$A$4:$A$31</c:f>
              <c:numCache>
                <c:formatCode>General</c:formatCode>
                <c:ptCount val="28"/>
                <c:pt idx="0">
                  <c:v>2E-3</c:v>
                </c:pt>
                <c:pt idx="1">
                  <c:v>2.5000000000000001E-3</c:v>
                </c:pt>
                <c:pt idx="2">
                  <c:v>3.0000000000000001E-3</c:v>
                </c:pt>
                <c:pt idx="3">
                  <c:v>3.5000000000000001E-3</c:v>
                </c:pt>
                <c:pt idx="4">
                  <c:v>4.0000000000000001E-3</c:v>
                </c:pt>
                <c:pt idx="5">
                  <c:v>4.5000000000000005E-3</c:v>
                </c:pt>
                <c:pt idx="6">
                  <c:v>5.000000000000001E-3</c:v>
                </c:pt>
                <c:pt idx="7">
                  <c:v>6.000000000000001E-3</c:v>
                </c:pt>
                <c:pt idx="8">
                  <c:v>7.000000000000001E-3</c:v>
                </c:pt>
                <c:pt idx="9">
                  <c:v>8.0000000000000002E-3</c:v>
                </c:pt>
                <c:pt idx="10">
                  <c:v>9.0000000000000011E-3</c:v>
                </c:pt>
                <c:pt idx="11">
                  <c:v>1.0000000000000002E-2</c:v>
                </c:pt>
                <c:pt idx="12">
                  <c:v>1.2000000000000002E-2</c:v>
                </c:pt>
                <c:pt idx="13">
                  <c:v>1.4000000000000002E-2</c:v>
                </c:pt>
                <c:pt idx="14">
                  <c:v>1.6E-2</c:v>
                </c:pt>
                <c:pt idx="15">
                  <c:v>1.8000000000000002E-2</c:v>
                </c:pt>
                <c:pt idx="16">
                  <c:v>2.0000000000000004E-2</c:v>
                </c:pt>
                <c:pt idx="17">
                  <c:v>2.5000000000000005E-2</c:v>
                </c:pt>
                <c:pt idx="18">
                  <c:v>3.0000000000000006E-2</c:v>
                </c:pt>
                <c:pt idx="19">
                  <c:v>3.5000000000000003E-2</c:v>
                </c:pt>
                <c:pt idx="20">
                  <c:v>0.04</c:v>
                </c:pt>
                <c:pt idx="21">
                  <c:v>4.4999999999999998E-2</c:v>
                </c:pt>
                <c:pt idx="22">
                  <c:v>4.9999999999999996E-2</c:v>
                </c:pt>
                <c:pt idx="23">
                  <c:v>0.06</c:v>
                </c:pt>
                <c:pt idx="24">
                  <c:v>6.9999999999999993E-2</c:v>
                </c:pt>
                <c:pt idx="25">
                  <c:v>7.9999999999999988E-2</c:v>
                </c:pt>
                <c:pt idx="26">
                  <c:v>8.9999999999999983E-2</c:v>
                </c:pt>
                <c:pt idx="27">
                  <c:v>9.9999999999999978E-2</c:v>
                </c:pt>
              </c:numCache>
            </c:numRef>
          </c:xVal>
          <c:yVal>
            <c:numRef>
              <c:f>'KDS 도참 4-20b'!$C$4:$C$31</c:f>
              <c:numCache>
                <c:formatCode>0.000</c:formatCode>
                <c:ptCount val="28"/>
                <c:pt idx="0">
                  <c:v>3.29705</c:v>
                </c:pt>
                <c:pt idx="1">
                  <c:v>3.0841099999999999</c:v>
                </c:pt>
                <c:pt idx="2">
                  <c:v>2.9051499999999999</c:v>
                </c:pt>
                <c:pt idx="3">
                  <c:v>2.78268</c:v>
                </c:pt>
                <c:pt idx="4">
                  <c:v>2.6638899999999999</c:v>
                </c:pt>
                <c:pt idx="5">
                  <c:v>2.5818400000000001</c:v>
                </c:pt>
                <c:pt idx="6">
                  <c:v>2.5029400000000002</c:v>
                </c:pt>
                <c:pt idx="7">
                  <c:v>2.3867099999999999</c:v>
                </c:pt>
                <c:pt idx="8">
                  <c:v>2.2985699999999998</c:v>
                </c:pt>
                <c:pt idx="9">
                  <c:v>2.22458</c:v>
                </c:pt>
                <c:pt idx="10">
                  <c:v>2.1571899999999999</c:v>
                </c:pt>
                <c:pt idx="11">
                  <c:v>2.10277</c:v>
                </c:pt>
                <c:pt idx="12">
                  <c:v>2.0242300000000002</c:v>
                </c:pt>
                <c:pt idx="13">
                  <c:v>1.9651200000000002</c:v>
                </c:pt>
                <c:pt idx="14">
                  <c:v>1.9207200000000002</c:v>
                </c:pt>
                <c:pt idx="15">
                  <c:v>1.88504</c:v>
                </c:pt>
                <c:pt idx="16">
                  <c:v>1.85694</c:v>
                </c:pt>
                <c:pt idx="17">
                  <c:v>1.81358</c:v>
                </c:pt>
                <c:pt idx="18">
                  <c:v>1.7954300000000001</c:v>
                </c:pt>
                <c:pt idx="19">
                  <c:v>1.7921899999999999</c:v>
                </c:pt>
                <c:pt idx="20">
                  <c:v>1.80836</c:v>
                </c:pt>
                <c:pt idx="21">
                  <c:v>1.84033</c:v>
                </c:pt>
                <c:pt idx="22">
                  <c:v>1.8845499999999999</c:v>
                </c:pt>
                <c:pt idx="23">
                  <c:v>2</c:v>
                </c:pt>
                <c:pt idx="24">
                  <c:v>2.1682100000000002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1EB-4C31-9CED-6C7CC3CCCE42}"/>
            </c:ext>
          </c:extLst>
        </c:ser>
        <c:ser>
          <c:idx val="2"/>
          <c:order val="2"/>
          <c:tx>
            <c:strRef>
              <c:f>'KDS 도참 4-20b'!$D$3</c:f>
              <c:strCache>
                <c:ptCount val="1"/>
                <c:pt idx="0">
                  <c:v>1/30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'KDS 도참 4-20b'!$A$4:$A$31</c:f>
              <c:numCache>
                <c:formatCode>General</c:formatCode>
                <c:ptCount val="28"/>
                <c:pt idx="0">
                  <c:v>2E-3</c:v>
                </c:pt>
                <c:pt idx="1">
                  <c:v>2.5000000000000001E-3</c:v>
                </c:pt>
                <c:pt idx="2">
                  <c:v>3.0000000000000001E-3</c:v>
                </c:pt>
                <c:pt idx="3">
                  <c:v>3.5000000000000001E-3</c:v>
                </c:pt>
                <c:pt idx="4">
                  <c:v>4.0000000000000001E-3</c:v>
                </c:pt>
                <c:pt idx="5">
                  <c:v>4.5000000000000005E-3</c:v>
                </c:pt>
                <c:pt idx="6">
                  <c:v>5.000000000000001E-3</c:v>
                </c:pt>
                <c:pt idx="7">
                  <c:v>6.000000000000001E-3</c:v>
                </c:pt>
                <c:pt idx="8">
                  <c:v>7.000000000000001E-3</c:v>
                </c:pt>
                <c:pt idx="9">
                  <c:v>8.0000000000000002E-3</c:v>
                </c:pt>
                <c:pt idx="10">
                  <c:v>9.0000000000000011E-3</c:v>
                </c:pt>
                <c:pt idx="11">
                  <c:v>1.0000000000000002E-2</c:v>
                </c:pt>
                <c:pt idx="12">
                  <c:v>1.2000000000000002E-2</c:v>
                </c:pt>
                <c:pt idx="13">
                  <c:v>1.4000000000000002E-2</c:v>
                </c:pt>
                <c:pt idx="14">
                  <c:v>1.6E-2</c:v>
                </c:pt>
                <c:pt idx="15">
                  <c:v>1.8000000000000002E-2</c:v>
                </c:pt>
                <c:pt idx="16">
                  <c:v>2.0000000000000004E-2</c:v>
                </c:pt>
                <c:pt idx="17">
                  <c:v>2.5000000000000005E-2</c:v>
                </c:pt>
                <c:pt idx="18">
                  <c:v>3.0000000000000006E-2</c:v>
                </c:pt>
                <c:pt idx="19">
                  <c:v>3.5000000000000003E-2</c:v>
                </c:pt>
                <c:pt idx="20">
                  <c:v>0.04</c:v>
                </c:pt>
                <c:pt idx="21">
                  <c:v>4.4999999999999998E-2</c:v>
                </c:pt>
                <c:pt idx="22">
                  <c:v>4.9999999999999996E-2</c:v>
                </c:pt>
                <c:pt idx="23">
                  <c:v>0.06</c:v>
                </c:pt>
                <c:pt idx="24">
                  <c:v>6.9999999999999993E-2</c:v>
                </c:pt>
                <c:pt idx="25">
                  <c:v>7.9999999999999988E-2</c:v>
                </c:pt>
                <c:pt idx="26">
                  <c:v>8.9999999999999983E-2</c:v>
                </c:pt>
                <c:pt idx="27">
                  <c:v>9.9999999999999978E-2</c:v>
                </c:pt>
              </c:numCache>
            </c:numRef>
          </c:xVal>
          <c:yVal>
            <c:numRef>
              <c:f>'KDS 도참 4-20b'!$D$4:$D$31</c:f>
              <c:numCache>
                <c:formatCode>0.000</c:formatCode>
                <c:ptCount val="28"/>
                <c:pt idx="0">
                  <c:v>3.4968300000000001</c:v>
                </c:pt>
                <c:pt idx="1">
                  <c:v>3.26214</c:v>
                </c:pt>
                <c:pt idx="2">
                  <c:v>3.0791399999999998</c:v>
                </c:pt>
                <c:pt idx="3">
                  <c:v>2.9487399999999999</c:v>
                </c:pt>
                <c:pt idx="4">
                  <c:v>2.8257500000000002</c:v>
                </c:pt>
                <c:pt idx="5">
                  <c:v>2.7380800000000001</c:v>
                </c:pt>
                <c:pt idx="6">
                  <c:v>2.6564199999999998</c:v>
                </c:pt>
                <c:pt idx="7">
                  <c:v>2.53634</c:v>
                </c:pt>
                <c:pt idx="8">
                  <c:v>2.4437899999999999</c:v>
                </c:pt>
                <c:pt idx="9">
                  <c:v>2.3706300000000002</c:v>
                </c:pt>
                <c:pt idx="10">
                  <c:v>2.3060800000000001</c:v>
                </c:pt>
                <c:pt idx="11">
                  <c:v>2.2547600000000001</c:v>
                </c:pt>
                <c:pt idx="12">
                  <c:v>2.1757200000000001</c:v>
                </c:pt>
                <c:pt idx="13">
                  <c:v>2.11395</c:v>
                </c:pt>
                <c:pt idx="14">
                  <c:v>2.0708799999999998</c:v>
                </c:pt>
                <c:pt idx="15">
                  <c:v>2.03538</c:v>
                </c:pt>
                <c:pt idx="16">
                  <c:v>2.00935</c:v>
                </c:pt>
                <c:pt idx="17">
                  <c:v>1.9713700000000001</c:v>
                </c:pt>
                <c:pt idx="18">
                  <c:v>1.96332</c:v>
                </c:pt>
                <c:pt idx="19">
                  <c:v>1.97326</c:v>
                </c:pt>
                <c:pt idx="20">
                  <c:v>2.0064600000000001</c:v>
                </c:pt>
                <c:pt idx="21">
                  <c:v>2.0594700000000001</c:v>
                </c:pt>
                <c:pt idx="22">
                  <c:v>2.11924</c:v>
                </c:pt>
                <c:pt idx="23">
                  <c:v>2.2839299999999998</c:v>
                </c:pt>
                <c:pt idx="24">
                  <c:v>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1EB-4C31-9CED-6C7CC3CCCE42}"/>
            </c:ext>
          </c:extLst>
        </c:ser>
        <c:ser>
          <c:idx val="3"/>
          <c:order val="3"/>
          <c:tx>
            <c:strRef>
              <c:f>'KDS 도참 4-20b'!$E$3</c:f>
              <c:strCache>
                <c:ptCount val="1"/>
                <c:pt idx="0">
                  <c:v>1/100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'KDS 도참 4-20b'!$A$4:$A$31</c:f>
              <c:numCache>
                <c:formatCode>General</c:formatCode>
                <c:ptCount val="28"/>
                <c:pt idx="0">
                  <c:v>2E-3</c:v>
                </c:pt>
                <c:pt idx="1">
                  <c:v>2.5000000000000001E-3</c:v>
                </c:pt>
                <c:pt idx="2">
                  <c:v>3.0000000000000001E-3</c:v>
                </c:pt>
                <c:pt idx="3">
                  <c:v>3.5000000000000001E-3</c:v>
                </c:pt>
                <c:pt idx="4">
                  <c:v>4.0000000000000001E-3</c:v>
                </c:pt>
                <c:pt idx="5">
                  <c:v>4.5000000000000005E-3</c:v>
                </c:pt>
                <c:pt idx="6">
                  <c:v>5.000000000000001E-3</c:v>
                </c:pt>
                <c:pt idx="7">
                  <c:v>6.000000000000001E-3</c:v>
                </c:pt>
                <c:pt idx="8">
                  <c:v>7.000000000000001E-3</c:v>
                </c:pt>
                <c:pt idx="9">
                  <c:v>8.0000000000000002E-3</c:v>
                </c:pt>
                <c:pt idx="10">
                  <c:v>9.0000000000000011E-3</c:v>
                </c:pt>
                <c:pt idx="11">
                  <c:v>1.0000000000000002E-2</c:v>
                </c:pt>
                <c:pt idx="12">
                  <c:v>1.2000000000000002E-2</c:v>
                </c:pt>
                <c:pt idx="13">
                  <c:v>1.4000000000000002E-2</c:v>
                </c:pt>
                <c:pt idx="14">
                  <c:v>1.6E-2</c:v>
                </c:pt>
                <c:pt idx="15">
                  <c:v>1.8000000000000002E-2</c:v>
                </c:pt>
                <c:pt idx="16">
                  <c:v>2.0000000000000004E-2</c:v>
                </c:pt>
                <c:pt idx="17">
                  <c:v>2.5000000000000005E-2</c:v>
                </c:pt>
                <c:pt idx="18">
                  <c:v>3.0000000000000006E-2</c:v>
                </c:pt>
                <c:pt idx="19">
                  <c:v>3.5000000000000003E-2</c:v>
                </c:pt>
                <c:pt idx="20">
                  <c:v>0.04</c:v>
                </c:pt>
                <c:pt idx="21">
                  <c:v>4.4999999999999998E-2</c:v>
                </c:pt>
                <c:pt idx="22">
                  <c:v>4.9999999999999996E-2</c:v>
                </c:pt>
                <c:pt idx="23">
                  <c:v>0.06</c:v>
                </c:pt>
                <c:pt idx="24">
                  <c:v>6.9999999999999993E-2</c:v>
                </c:pt>
                <c:pt idx="25">
                  <c:v>7.9999999999999988E-2</c:v>
                </c:pt>
                <c:pt idx="26">
                  <c:v>8.9999999999999983E-2</c:v>
                </c:pt>
                <c:pt idx="27">
                  <c:v>9.9999999999999978E-2</c:v>
                </c:pt>
              </c:numCache>
            </c:numRef>
          </c:xVal>
          <c:yVal>
            <c:numRef>
              <c:f>'KDS 도참 4-20b'!$E$4:$E$31</c:f>
              <c:numCache>
                <c:formatCode>0.000</c:formatCode>
                <c:ptCount val="28"/>
                <c:pt idx="0">
                  <c:v>3.7</c:v>
                </c:pt>
                <c:pt idx="1">
                  <c:v>3.4803699999999997</c:v>
                </c:pt>
                <c:pt idx="2">
                  <c:v>3.2893999999999997</c:v>
                </c:pt>
                <c:pt idx="3">
                  <c:v>3.1551499999999999</c:v>
                </c:pt>
                <c:pt idx="4">
                  <c:v>3.0303300000000002</c:v>
                </c:pt>
                <c:pt idx="5">
                  <c:v>2.9409700000000001</c:v>
                </c:pt>
                <c:pt idx="6">
                  <c:v>2.8566099999999999</c:v>
                </c:pt>
                <c:pt idx="7">
                  <c:v>2.7332900000000002</c:v>
                </c:pt>
                <c:pt idx="8">
                  <c:v>2.6380299999999997</c:v>
                </c:pt>
                <c:pt idx="9">
                  <c:v>2.5611700000000002</c:v>
                </c:pt>
                <c:pt idx="10">
                  <c:v>2.4967299999999999</c:v>
                </c:pt>
                <c:pt idx="11">
                  <c:v>2.4459599999999999</c:v>
                </c:pt>
                <c:pt idx="12">
                  <c:v>2.3707000000000003</c:v>
                </c:pt>
                <c:pt idx="13">
                  <c:v>2.3102</c:v>
                </c:pt>
                <c:pt idx="14">
                  <c:v>2.2699400000000001</c:v>
                </c:pt>
                <c:pt idx="15">
                  <c:v>2.2410299999999999</c:v>
                </c:pt>
                <c:pt idx="16">
                  <c:v>2.2159499999999999</c:v>
                </c:pt>
                <c:pt idx="17">
                  <c:v>2.1905000000000001</c:v>
                </c:pt>
                <c:pt idx="18">
                  <c:v>2.1926700000000001</c:v>
                </c:pt>
                <c:pt idx="19">
                  <c:v>2.21116</c:v>
                </c:pt>
                <c:pt idx="20">
                  <c:v>2.24824</c:v>
                </c:pt>
                <c:pt idx="21">
                  <c:v>2.3027100000000003</c:v>
                </c:pt>
                <c:pt idx="22">
                  <c:v>2.3753000000000002</c:v>
                </c:pt>
                <c:pt idx="23">
                  <c:v>2.5537299999999998</c:v>
                </c:pt>
                <c:pt idx="24">
                  <c:v>2.8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1EB-4C31-9CED-6C7CC3CCCE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5792175"/>
        <c:axId val="1275785935"/>
      </c:scatterChart>
      <c:valAx>
        <c:axId val="1275792175"/>
        <c:scaling>
          <c:logBase val="2"/>
          <c:orientation val="minMax"/>
          <c:max val="0.1"/>
          <c:min val="2.0000000000000005E-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75785935"/>
        <c:crosses val="autoZero"/>
        <c:crossBetween val="midCat"/>
      </c:valAx>
      <c:valAx>
        <c:axId val="1275785935"/>
        <c:scaling>
          <c:orientation val="minMax"/>
          <c:max val="3.7"/>
          <c:min val="1.3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75792175"/>
        <c:crosses val="max"/>
        <c:crossBetween val="midCat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459440</xdr:colOff>
      <xdr:row>3</xdr:row>
      <xdr:rowOff>73960</xdr:rowOff>
    </xdr:from>
    <xdr:to>
      <xdr:col>19</xdr:col>
      <xdr:colOff>224117</xdr:colOff>
      <xdr:row>30</xdr:row>
      <xdr:rowOff>11206</xdr:rowOff>
    </xdr:to>
    <xdr:graphicFrame macro="">
      <xdr:nvGraphicFramePr>
        <xdr:cNvPr id="2" name="차트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31"/>
  <sheetViews>
    <sheetView tabSelected="1" zoomScale="85" zoomScaleNormal="85" workbookViewId="0">
      <pane ySplit="3" topLeftCell="A4" activePane="bottomLeft" state="frozen"/>
      <selection pane="bottomLeft" activeCell="AE11" sqref="AE11"/>
    </sheetView>
  </sheetViews>
  <sheetFormatPr defaultRowHeight="16.5" outlineLevelCol="1" x14ac:dyDescent="0.3"/>
  <cols>
    <col min="8" max="11" width="9" hidden="1" customWidth="1" outlineLevel="1"/>
    <col min="12" max="12" width="9" collapsed="1"/>
  </cols>
  <sheetData>
    <row r="2" spans="1:11" x14ac:dyDescent="0.3">
      <c r="B2" s="5" t="s">
        <v>5</v>
      </c>
      <c r="C2" s="5"/>
      <c r="D2" s="5"/>
      <c r="E2" s="5"/>
      <c r="H2" s="5" t="s">
        <v>5</v>
      </c>
      <c r="I2" s="5"/>
      <c r="J2" s="5"/>
      <c r="K2" s="5"/>
    </row>
    <row r="3" spans="1:11" s="3" customFormat="1" x14ac:dyDescent="0.3">
      <c r="A3" s="3" t="s">
        <v>0</v>
      </c>
      <c r="B3" s="4" t="s">
        <v>1</v>
      </c>
      <c r="C3" s="4" t="s">
        <v>2</v>
      </c>
      <c r="D3" s="4" t="s">
        <v>3</v>
      </c>
      <c r="E3" s="4" t="s">
        <v>4</v>
      </c>
      <c r="H3" s="4" t="s">
        <v>1</v>
      </c>
      <c r="I3" s="4" t="s">
        <v>2</v>
      </c>
      <c r="J3" s="4" t="s">
        <v>3</v>
      </c>
      <c r="K3" s="4" t="s">
        <v>4</v>
      </c>
    </row>
    <row r="4" spans="1:11" x14ac:dyDescent="0.3">
      <c r="A4">
        <v>2E-3</v>
      </c>
      <c r="B4" s="2">
        <f>1.3+2.4*H4/24</f>
        <v>2.83941</v>
      </c>
      <c r="C4" s="2">
        <f>1.3+2.4*I4/24</f>
        <v>3.29705</v>
      </c>
      <c r="D4" s="2">
        <f>1.3+2.4*J4/24</f>
        <v>3.4968300000000001</v>
      </c>
      <c r="E4" s="2">
        <f>1.3+2.4*K4/24</f>
        <v>3.7</v>
      </c>
      <c r="H4">
        <v>15.3941</v>
      </c>
      <c r="I4">
        <v>19.970500000000001</v>
      </c>
      <c r="J4">
        <v>21.968299999999999</v>
      </c>
      <c r="K4">
        <v>24</v>
      </c>
    </row>
    <row r="5" spans="1:11" x14ac:dyDescent="0.3">
      <c r="A5">
        <f t="shared" ref="A5:A10" si="0">A4+0.0005</f>
        <v>2.5000000000000001E-3</v>
      </c>
      <c r="B5" s="2">
        <f t="shared" ref="B5:B28" si="1">1.3+2.4*H5/24</f>
        <v>2.6782300000000001</v>
      </c>
      <c r="C5" s="2">
        <f t="shared" ref="C5:C28" si="2">1.3+2.4*I5/24</f>
        <v>3.0841099999999999</v>
      </c>
      <c r="D5" s="2">
        <f t="shared" ref="D5:D28" si="3">1.3+2.4*J5/24</f>
        <v>3.26214</v>
      </c>
      <c r="E5" s="2">
        <f t="shared" ref="E5:E28" si="4">1.3+2.4*K5/24</f>
        <v>3.4803699999999997</v>
      </c>
      <c r="H5">
        <v>13.782299999999999</v>
      </c>
      <c r="I5">
        <v>17.841100000000001</v>
      </c>
      <c r="J5">
        <v>19.621400000000001</v>
      </c>
      <c r="K5">
        <v>21.803699999999999</v>
      </c>
    </row>
    <row r="6" spans="1:11" x14ac:dyDescent="0.3">
      <c r="A6">
        <f t="shared" si="0"/>
        <v>3.0000000000000001E-3</v>
      </c>
      <c r="B6" s="2">
        <f t="shared" si="1"/>
        <v>2.5345800000000001</v>
      </c>
      <c r="C6" s="2">
        <f t="shared" si="2"/>
        <v>2.9051499999999999</v>
      </c>
      <c r="D6" s="2">
        <f t="shared" si="3"/>
        <v>3.0791399999999998</v>
      </c>
      <c r="E6" s="2">
        <f t="shared" si="4"/>
        <v>3.2893999999999997</v>
      </c>
      <c r="H6">
        <v>12.345800000000001</v>
      </c>
      <c r="I6">
        <v>16.051500000000001</v>
      </c>
      <c r="J6">
        <v>17.791399999999999</v>
      </c>
      <c r="K6">
        <v>19.893999999999998</v>
      </c>
    </row>
    <row r="7" spans="1:11" x14ac:dyDescent="0.3">
      <c r="A7">
        <f t="shared" si="0"/>
        <v>3.5000000000000001E-3</v>
      </c>
      <c r="B7" s="2">
        <f t="shared" si="1"/>
        <v>2.4335399999999998</v>
      </c>
      <c r="C7" s="2">
        <f t="shared" si="2"/>
        <v>2.78268</v>
      </c>
      <c r="D7" s="2">
        <f t="shared" si="3"/>
        <v>2.9487399999999999</v>
      </c>
      <c r="E7" s="2">
        <f t="shared" si="4"/>
        <v>3.1551499999999999</v>
      </c>
      <c r="H7">
        <v>11.3354</v>
      </c>
      <c r="I7">
        <v>14.8268</v>
      </c>
      <c r="J7">
        <v>16.487400000000001</v>
      </c>
      <c r="K7">
        <v>18.551500000000001</v>
      </c>
    </row>
    <row r="8" spans="1:11" x14ac:dyDescent="0.3">
      <c r="A8">
        <f t="shared" si="0"/>
        <v>4.0000000000000001E-3</v>
      </c>
      <c r="B8" s="2">
        <f t="shared" si="1"/>
        <v>2.33351</v>
      </c>
      <c r="C8" s="2">
        <f t="shared" si="2"/>
        <v>2.6638899999999999</v>
      </c>
      <c r="D8" s="2">
        <f t="shared" si="3"/>
        <v>2.8257500000000002</v>
      </c>
      <c r="E8" s="2">
        <f t="shared" si="4"/>
        <v>3.0303300000000002</v>
      </c>
      <c r="H8">
        <v>10.335100000000001</v>
      </c>
      <c r="I8">
        <v>13.6389</v>
      </c>
      <c r="J8">
        <v>15.2575</v>
      </c>
      <c r="K8">
        <v>17.3033</v>
      </c>
    </row>
    <row r="9" spans="1:11" x14ac:dyDescent="0.3">
      <c r="A9">
        <f t="shared" si="0"/>
        <v>4.5000000000000005E-3</v>
      </c>
      <c r="B9" s="2">
        <f t="shared" si="1"/>
        <v>2.2636500000000002</v>
      </c>
      <c r="C9" s="2">
        <f t="shared" si="2"/>
        <v>2.5818400000000001</v>
      </c>
      <c r="D9" s="2">
        <f t="shared" si="3"/>
        <v>2.7380800000000001</v>
      </c>
      <c r="E9" s="2">
        <f t="shared" si="4"/>
        <v>2.9409700000000001</v>
      </c>
      <c r="H9">
        <v>9.6364999999999998</v>
      </c>
      <c r="I9">
        <v>12.8184</v>
      </c>
      <c r="J9">
        <v>14.380800000000001</v>
      </c>
      <c r="K9">
        <v>16.409700000000001</v>
      </c>
    </row>
    <row r="10" spans="1:11" s="1" customFormat="1" x14ac:dyDescent="0.3">
      <c r="A10" s="1">
        <f t="shared" si="0"/>
        <v>5.000000000000001E-3</v>
      </c>
      <c r="B10" s="2">
        <f t="shared" si="1"/>
        <v>2.1938599999999999</v>
      </c>
      <c r="C10" s="2">
        <f t="shared" si="2"/>
        <v>2.5029400000000002</v>
      </c>
      <c r="D10" s="2">
        <f t="shared" si="3"/>
        <v>2.6564199999999998</v>
      </c>
      <c r="E10" s="2">
        <f t="shared" si="4"/>
        <v>2.8566099999999999</v>
      </c>
      <c r="H10" s="1">
        <v>8.9385999999999992</v>
      </c>
      <c r="I10" s="1">
        <v>12.029400000000001</v>
      </c>
      <c r="J10" s="1">
        <v>13.5642</v>
      </c>
      <c r="K10" s="1">
        <v>15.5661</v>
      </c>
    </row>
    <row r="11" spans="1:11" x14ac:dyDescent="0.3">
      <c r="A11">
        <f>A10+0.001</f>
        <v>6.000000000000001E-3</v>
      </c>
      <c r="B11" s="2">
        <f t="shared" si="1"/>
        <v>2.0830099999999998</v>
      </c>
      <c r="C11" s="2">
        <f t="shared" si="2"/>
        <v>2.3867099999999999</v>
      </c>
      <c r="D11" s="2">
        <f t="shared" si="3"/>
        <v>2.53634</v>
      </c>
      <c r="E11" s="2">
        <f t="shared" si="4"/>
        <v>2.7332900000000002</v>
      </c>
      <c r="H11">
        <v>7.8300999999999998</v>
      </c>
      <c r="I11">
        <v>10.867100000000001</v>
      </c>
      <c r="J11">
        <v>12.3634</v>
      </c>
      <c r="K11">
        <v>14.3329</v>
      </c>
    </row>
    <row r="12" spans="1:11" x14ac:dyDescent="0.3">
      <c r="A12">
        <f>A11+0.001</f>
        <v>7.000000000000001E-3</v>
      </c>
      <c r="B12" s="2">
        <f t="shared" si="1"/>
        <v>2</v>
      </c>
      <c r="C12" s="2">
        <f t="shared" si="2"/>
        <v>2.2985699999999998</v>
      </c>
      <c r="D12" s="2">
        <f t="shared" si="3"/>
        <v>2.4437899999999999</v>
      </c>
      <c r="E12" s="2">
        <f t="shared" si="4"/>
        <v>2.6380299999999997</v>
      </c>
      <c r="H12">
        <v>7</v>
      </c>
      <c r="I12">
        <v>9.9856999999999996</v>
      </c>
      <c r="J12">
        <v>11.437900000000001</v>
      </c>
      <c r="K12">
        <v>13.3803</v>
      </c>
    </row>
    <row r="13" spans="1:11" x14ac:dyDescent="0.3">
      <c r="A13">
        <f>A12+0.001</f>
        <v>8.0000000000000002E-3</v>
      </c>
      <c r="B13" s="2">
        <f t="shared" si="1"/>
        <v>1.9300600000000001</v>
      </c>
      <c r="C13" s="2">
        <f t="shared" si="2"/>
        <v>2.22458</v>
      </c>
      <c r="D13" s="2">
        <f t="shared" si="3"/>
        <v>2.3706300000000002</v>
      </c>
      <c r="E13" s="2">
        <f t="shared" si="4"/>
        <v>2.5611700000000002</v>
      </c>
      <c r="H13">
        <v>6.3006000000000002</v>
      </c>
      <c r="I13">
        <v>9.2457999999999991</v>
      </c>
      <c r="J13">
        <v>10.706300000000001</v>
      </c>
      <c r="K13">
        <v>12.611700000000001</v>
      </c>
    </row>
    <row r="14" spans="1:11" x14ac:dyDescent="0.3">
      <c r="A14">
        <f>A13+0.001</f>
        <v>9.0000000000000011E-3</v>
      </c>
      <c r="B14" s="2">
        <f t="shared" si="1"/>
        <v>1.8647499999999999</v>
      </c>
      <c r="C14" s="2">
        <f t="shared" si="2"/>
        <v>2.1571899999999999</v>
      </c>
      <c r="D14" s="2">
        <f t="shared" si="3"/>
        <v>2.3060800000000001</v>
      </c>
      <c r="E14" s="2">
        <f t="shared" si="4"/>
        <v>2.4967299999999999</v>
      </c>
      <c r="H14">
        <v>5.6475</v>
      </c>
      <c r="I14">
        <v>8.5718999999999994</v>
      </c>
      <c r="J14">
        <v>10.0608</v>
      </c>
      <c r="K14">
        <v>11.9673</v>
      </c>
    </row>
    <row r="15" spans="1:11" s="1" customFormat="1" x14ac:dyDescent="0.3">
      <c r="A15" s="1">
        <f>A14+0.001</f>
        <v>1.0000000000000002E-2</v>
      </c>
      <c r="B15" s="2">
        <f t="shared" si="1"/>
        <v>1.8120099999999999</v>
      </c>
      <c r="C15" s="2">
        <f t="shared" si="2"/>
        <v>2.10277</v>
      </c>
      <c r="D15" s="2">
        <f t="shared" si="3"/>
        <v>2.2547600000000001</v>
      </c>
      <c r="E15" s="2">
        <f t="shared" si="4"/>
        <v>2.4459599999999999</v>
      </c>
      <c r="H15" s="1">
        <v>5.1200999999999999</v>
      </c>
      <c r="I15" s="1">
        <v>8.0276999999999994</v>
      </c>
      <c r="J15" s="1">
        <v>9.5475999999999992</v>
      </c>
      <c r="K15" s="1">
        <v>11.4596</v>
      </c>
    </row>
    <row r="16" spans="1:11" x14ac:dyDescent="0.3">
      <c r="A16">
        <f>A15+0.002</f>
        <v>1.2000000000000002E-2</v>
      </c>
      <c r="B16" s="2">
        <f t="shared" si="1"/>
        <v>1.7335</v>
      </c>
      <c r="C16" s="2">
        <f t="shared" si="2"/>
        <v>2.0242300000000002</v>
      </c>
      <c r="D16" s="2">
        <f t="shared" si="3"/>
        <v>2.1757200000000001</v>
      </c>
      <c r="E16" s="2">
        <f t="shared" si="4"/>
        <v>2.3707000000000003</v>
      </c>
      <c r="H16">
        <v>4.335</v>
      </c>
      <c r="I16">
        <v>7.2423000000000002</v>
      </c>
      <c r="J16">
        <v>8.7571999999999992</v>
      </c>
      <c r="K16">
        <v>10.707000000000001</v>
      </c>
    </row>
    <row r="17" spans="1:11" x14ac:dyDescent="0.3">
      <c r="A17">
        <f>A16+0.002</f>
        <v>1.4000000000000002E-2</v>
      </c>
      <c r="B17" s="2">
        <f t="shared" si="1"/>
        <v>1.6654200000000001</v>
      </c>
      <c r="C17" s="2">
        <f t="shared" si="2"/>
        <v>1.9651200000000002</v>
      </c>
      <c r="D17" s="2">
        <f t="shared" si="3"/>
        <v>2.11395</v>
      </c>
      <c r="E17" s="2">
        <f t="shared" si="4"/>
        <v>2.3102</v>
      </c>
      <c r="H17">
        <v>3.6541999999999999</v>
      </c>
      <c r="I17">
        <v>6.6512000000000002</v>
      </c>
      <c r="J17">
        <v>8.1395</v>
      </c>
      <c r="K17">
        <v>10.102</v>
      </c>
    </row>
    <row r="18" spans="1:11" x14ac:dyDescent="0.3">
      <c r="A18">
        <f>A17+0.002</f>
        <v>1.6E-2</v>
      </c>
      <c r="B18" s="2">
        <f t="shared" si="1"/>
        <v>1.6174500000000001</v>
      </c>
      <c r="C18" s="2">
        <f t="shared" si="2"/>
        <v>1.9207200000000002</v>
      </c>
      <c r="D18" s="2">
        <f t="shared" si="3"/>
        <v>2.0708799999999998</v>
      </c>
      <c r="E18" s="2">
        <f t="shared" si="4"/>
        <v>2.2699400000000001</v>
      </c>
      <c r="H18">
        <v>3.1745000000000001</v>
      </c>
      <c r="I18">
        <v>6.2072000000000003</v>
      </c>
      <c r="J18">
        <v>7.7088000000000001</v>
      </c>
      <c r="K18">
        <v>9.6994000000000007</v>
      </c>
    </row>
    <row r="19" spans="1:11" x14ac:dyDescent="0.3">
      <c r="A19">
        <f>A18+0.002</f>
        <v>1.8000000000000002E-2</v>
      </c>
      <c r="B19" s="2">
        <f t="shared" si="1"/>
        <v>1.57761</v>
      </c>
      <c r="C19" s="2">
        <f t="shared" si="2"/>
        <v>1.88504</v>
      </c>
      <c r="D19" s="2">
        <f t="shared" si="3"/>
        <v>2.03538</v>
      </c>
      <c r="E19" s="2">
        <f t="shared" si="4"/>
        <v>2.2410299999999999</v>
      </c>
      <c r="H19">
        <v>2.7761</v>
      </c>
      <c r="I19">
        <v>5.8503999999999996</v>
      </c>
      <c r="J19">
        <v>7.3537999999999997</v>
      </c>
      <c r="K19">
        <v>9.4102999999999994</v>
      </c>
    </row>
    <row r="20" spans="1:11" s="1" customFormat="1" x14ac:dyDescent="0.3">
      <c r="A20" s="1">
        <f>A19+0.002</f>
        <v>2.0000000000000004E-2</v>
      </c>
      <c r="B20" s="2">
        <f t="shared" si="1"/>
        <v>1.5425200000000001</v>
      </c>
      <c r="C20" s="2">
        <f t="shared" si="2"/>
        <v>1.85694</v>
      </c>
      <c r="D20" s="2">
        <f t="shared" si="3"/>
        <v>2.00935</v>
      </c>
      <c r="E20" s="2">
        <f t="shared" si="4"/>
        <v>2.2159499999999999</v>
      </c>
      <c r="H20" s="1">
        <v>2.4251999999999998</v>
      </c>
      <c r="I20" s="1">
        <v>5.5693999999999999</v>
      </c>
      <c r="J20" s="1">
        <v>7.0934999999999997</v>
      </c>
      <c r="K20" s="1">
        <v>9.1594999999999995</v>
      </c>
    </row>
    <row r="21" spans="1:11" x14ac:dyDescent="0.3">
      <c r="A21">
        <f t="shared" ref="A21:A26" si="5">A20+0.005</f>
        <v>2.5000000000000005E-2</v>
      </c>
      <c r="B21" s="2">
        <f t="shared" si="1"/>
        <v>1.4922599999999999</v>
      </c>
      <c r="C21" s="2">
        <f t="shared" si="2"/>
        <v>1.81358</v>
      </c>
      <c r="D21" s="2">
        <f t="shared" si="3"/>
        <v>1.9713700000000001</v>
      </c>
      <c r="E21" s="2">
        <f t="shared" si="4"/>
        <v>2.1905000000000001</v>
      </c>
      <c r="H21">
        <v>1.9226000000000001</v>
      </c>
      <c r="I21">
        <v>5.1357999999999997</v>
      </c>
      <c r="J21">
        <v>6.7137000000000002</v>
      </c>
      <c r="K21">
        <v>8.9049999999999994</v>
      </c>
    </row>
    <row r="22" spans="1:11" x14ac:dyDescent="0.3">
      <c r="A22">
        <f t="shared" si="5"/>
        <v>3.0000000000000006E-2</v>
      </c>
      <c r="B22" s="2">
        <f t="shared" si="1"/>
        <v>1.4625900000000001</v>
      </c>
      <c r="C22" s="2">
        <f t="shared" si="2"/>
        <v>1.7954300000000001</v>
      </c>
      <c r="D22" s="2">
        <f t="shared" si="3"/>
        <v>1.96332</v>
      </c>
      <c r="E22" s="2">
        <f t="shared" si="4"/>
        <v>2.1926700000000001</v>
      </c>
      <c r="H22">
        <v>1.6258999999999999</v>
      </c>
      <c r="I22">
        <v>4.9542999999999999</v>
      </c>
      <c r="J22">
        <v>6.6332000000000004</v>
      </c>
      <c r="K22">
        <v>8.9267000000000003</v>
      </c>
    </row>
    <row r="23" spans="1:11" x14ac:dyDescent="0.3">
      <c r="A23">
        <f t="shared" si="5"/>
        <v>3.5000000000000003E-2</v>
      </c>
      <c r="B23" s="2">
        <f t="shared" si="1"/>
        <v>1.4483300000000001</v>
      </c>
      <c r="C23" s="2">
        <f t="shared" si="2"/>
        <v>1.7921899999999999</v>
      </c>
      <c r="D23" s="2">
        <f t="shared" si="3"/>
        <v>1.97326</v>
      </c>
      <c r="E23" s="2">
        <f t="shared" si="4"/>
        <v>2.21116</v>
      </c>
      <c r="H23">
        <v>1.4833000000000001</v>
      </c>
      <c r="I23">
        <v>4.9218999999999999</v>
      </c>
      <c r="J23">
        <v>6.7325999999999997</v>
      </c>
      <c r="K23">
        <v>9.1115999999999993</v>
      </c>
    </row>
    <row r="24" spans="1:11" x14ac:dyDescent="0.3">
      <c r="A24">
        <f t="shared" si="5"/>
        <v>0.04</v>
      </c>
      <c r="B24" s="2">
        <f t="shared" si="1"/>
        <v>1.4458500000000001</v>
      </c>
      <c r="C24" s="2">
        <f t="shared" si="2"/>
        <v>1.80836</v>
      </c>
      <c r="D24" s="2">
        <f t="shared" si="3"/>
        <v>2.0064600000000001</v>
      </c>
      <c r="E24" s="2">
        <f t="shared" si="4"/>
        <v>2.24824</v>
      </c>
      <c r="H24">
        <v>1.4584999999999999</v>
      </c>
      <c r="I24">
        <v>5.0835999999999997</v>
      </c>
      <c r="J24">
        <v>7.0646000000000004</v>
      </c>
      <c r="K24">
        <v>9.4824000000000002</v>
      </c>
    </row>
    <row r="25" spans="1:11" x14ac:dyDescent="0.3">
      <c r="A25">
        <f t="shared" si="5"/>
        <v>4.4999999999999998E-2</v>
      </c>
      <c r="B25" s="2">
        <f t="shared" si="1"/>
        <v>1.4524300000000001</v>
      </c>
      <c r="C25" s="2">
        <f t="shared" si="2"/>
        <v>1.84033</v>
      </c>
      <c r="D25" s="2">
        <f t="shared" si="3"/>
        <v>2.0594700000000001</v>
      </c>
      <c r="E25" s="2">
        <f t="shared" si="4"/>
        <v>2.3027100000000003</v>
      </c>
      <c r="H25">
        <v>1.5243</v>
      </c>
      <c r="I25">
        <v>5.4032999999999998</v>
      </c>
      <c r="J25">
        <v>7.5946999999999996</v>
      </c>
      <c r="K25">
        <v>10.027100000000001</v>
      </c>
    </row>
    <row r="26" spans="1:11" s="1" customFormat="1" x14ac:dyDescent="0.3">
      <c r="A26" s="1">
        <f t="shared" si="5"/>
        <v>4.9999999999999996E-2</v>
      </c>
      <c r="B26" s="2">
        <f t="shared" si="1"/>
        <v>1.4754499999999999</v>
      </c>
      <c r="C26" s="2">
        <f t="shared" si="2"/>
        <v>1.8845499999999999</v>
      </c>
      <c r="D26" s="2">
        <f t="shared" si="3"/>
        <v>2.11924</v>
      </c>
      <c r="E26" s="2">
        <f t="shared" si="4"/>
        <v>2.3753000000000002</v>
      </c>
      <c r="H26" s="1">
        <v>1.7544999999999999</v>
      </c>
      <c r="I26" s="1">
        <v>5.8455000000000004</v>
      </c>
      <c r="J26" s="1">
        <v>8.1923999999999992</v>
      </c>
      <c r="K26" s="1">
        <v>10.753</v>
      </c>
    </row>
    <row r="27" spans="1:11" x14ac:dyDescent="0.3">
      <c r="A27">
        <f>A26+0.01</f>
        <v>0.06</v>
      </c>
      <c r="B27" s="2">
        <f t="shared" si="1"/>
        <v>1.54792</v>
      </c>
      <c r="C27" s="2">
        <f t="shared" si="2"/>
        <v>2</v>
      </c>
      <c r="D27" s="2">
        <f t="shared" si="3"/>
        <v>2.2839299999999998</v>
      </c>
      <c r="E27" s="2">
        <f t="shared" si="4"/>
        <v>2.5537299999999998</v>
      </c>
      <c r="H27">
        <v>2.4792000000000001</v>
      </c>
      <c r="I27">
        <v>7</v>
      </c>
      <c r="J27">
        <v>9.8392999999999997</v>
      </c>
      <c r="K27">
        <v>12.5373</v>
      </c>
    </row>
    <row r="28" spans="1:11" x14ac:dyDescent="0.3">
      <c r="A28">
        <f>A27+0.01</f>
        <v>6.9999999999999993E-2</v>
      </c>
      <c r="B28" s="2">
        <f t="shared" si="1"/>
        <v>1.65001</v>
      </c>
      <c r="C28" s="2">
        <f t="shared" si="2"/>
        <v>2.1682100000000002</v>
      </c>
      <c r="D28" s="2">
        <f t="shared" si="3"/>
        <v>2.5</v>
      </c>
      <c r="E28" s="2">
        <f t="shared" si="4"/>
        <v>2.8</v>
      </c>
      <c r="H28">
        <v>3.5001000000000002</v>
      </c>
      <c r="I28">
        <v>8.6821000000000002</v>
      </c>
      <c r="J28">
        <v>12</v>
      </c>
      <c r="K28">
        <v>15</v>
      </c>
    </row>
    <row r="29" spans="1:11" x14ac:dyDescent="0.3">
      <c r="A29">
        <f>A28+0.01</f>
        <v>7.9999999999999988E-2</v>
      </c>
      <c r="B29" s="2"/>
    </row>
    <row r="30" spans="1:11" x14ac:dyDescent="0.3">
      <c r="A30">
        <f>A29+0.01</f>
        <v>8.9999999999999983E-2</v>
      </c>
      <c r="B30" s="2"/>
    </row>
    <row r="31" spans="1:11" x14ac:dyDescent="0.3">
      <c r="A31">
        <f>A30+0.01</f>
        <v>9.9999999999999978E-2</v>
      </c>
      <c r="B31" s="2"/>
    </row>
  </sheetData>
  <mergeCells count="2">
    <mergeCell ref="B2:E2"/>
    <mergeCell ref="H2:K2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KDS 도참 4-20b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JTLEE</dc:creator>
  <cp:lastModifiedBy>김창보</cp:lastModifiedBy>
  <dcterms:created xsi:type="dcterms:W3CDTF">2026-07-01T08:28:28Z</dcterms:created>
  <dcterms:modified xsi:type="dcterms:W3CDTF">2026-07-09T00:13:19Z</dcterms:modified>
</cp:coreProperties>
</file>