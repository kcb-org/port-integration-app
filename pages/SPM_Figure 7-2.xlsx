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창보\Desktop\armor-app\"/>
    </mc:Choice>
  </mc:AlternateContent>
  <bookViews>
    <workbookView xWindow="0" yWindow="0" windowWidth="28800" windowHeight="12135"/>
  </bookViews>
  <sheets>
    <sheet name="SPM_Figure 7-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" i="2"/>
  <c r="A7" i="2"/>
  <c r="A8" i="2"/>
  <c r="A9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6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<sst xmlns="http://schemas.openxmlformats.org/spreadsheetml/2006/main" count="20" uniqueCount="11">
  <si>
    <t>Hb/gT2</t>
    <phoneticPr fontId="1" type="noConversion"/>
  </si>
  <si>
    <t>α</t>
    <phoneticPr fontId="1" type="noConversion"/>
  </si>
  <si>
    <t>β</t>
    <phoneticPr fontId="1" type="noConversion"/>
  </si>
  <si>
    <t>1 : 5</t>
    <phoneticPr fontId="1" type="noConversion"/>
  </si>
  <si>
    <t>1 : 10</t>
  </si>
  <si>
    <t>1 : 14</t>
  </si>
  <si>
    <t>1 : 20</t>
  </si>
  <si>
    <t>1 : 33</t>
  </si>
  <si>
    <t>1 : 50</t>
  </si>
  <si>
    <t>1 : 100</t>
  </si>
  <si>
    <t>1 : 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</si>
</sst>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Z55"/>
  <sheetViews>
    <sheetView tabSelected="1" zoomScale="85" zoomScaleNormal="85" workbookViewId="0">
      <pane ySplit="4" topLeftCell="A5" activePane="bottomLeft" state="frozen"/>
      <selection activeCell="V33" sqref="V33"/>
      <selection pane="bottomLeft" activeCell="W19" sqref="W19"/>
    </sheetView>
  </sheetViews>
  <sheetFormatPr defaultRowHeight="16.5" outlineLevelCol="1" x14ac:dyDescent="0.3"/>
  <cols>
    <col min="2" max="10" width="9" style="1"/>
    <col min="13" max="20" width="0" hidden="1" customWidth="1" outlineLevel="1"/>
    <col min="21" max="21" width="9" collapsed="1"/>
    <col min="25" max="25" width="9" style="1"/>
  </cols>
  <sheetData>
    <row r="2" spans="1:26" s="1" customFormat="1" x14ac:dyDescent="0.3">
      <c r="A2" s="5" t="s">
        <v>0</v>
      </c>
      <c r="B2" s="5" t="s">
        <v>1</v>
      </c>
      <c r="C2" s="5" t="s">
        <v>2</v>
      </c>
      <c r="D2" s="5"/>
      <c r="E2" s="5"/>
      <c r="F2" s="5"/>
      <c r="G2" s="5"/>
      <c r="H2" s="5"/>
      <c r="I2" s="5"/>
      <c r="J2" s="5"/>
      <c r="M2" s="5" t="s">
        <v>2</v>
      </c>
      <c r="N2" s="5"/>
      <c r="O2" s="5"/>
      <c r="P2" s="5"/>
      <c r="Q2" s="5"/>
      <c r="R2" s="5"/>
      <c r="S2" s="5"/>
      <c r="T2" s="5"/>
    </row>
    <row r="3" spans="1:26" s="1" customFormat="1" x14ac:dyDescent="0.3">
      <c r="A3" s="5"/>
      <c r="B3" s="5"/>
      <c r="C3" s="1">
        <v>0.2</v>
      </c>
      <c r="D3" s="1">
        <v>0.1</v>
      </c>
      <c r="E3" s="1">
        <v>7.0000000000000007E-2</v>
      </c>
      <c r="F3" s="1">
        <v>0.05</v>
      </c>
      <c r="G3" s="1">
        <v>0.03</v>
      </c>
      <c r="H3" s="1">
        <v>0.02</v>
      </c>
      <c r="I3" s="1">
        <v>0.01</v>
      </c>
      <c r="J3" s="1">
        <v>0</v>
      </c>
      <c r="M3" s="1">
        <v>0.2</v>
      </c>
      <c r="N3" s="1">
        <v>0.1</v>
      </c>
      <c r="O3" s="1">
        <v>7.0000000000000007E-2</v>
      </c>
      <c r="P3" s="1">
        <v>0.05</v>
      </c>
      <c r="Q3" s="1">
        <v>0.03</v>
      </c>
      <c r="R3" s="1">
        <v>0.02</v>
      </c>
      <c r="S3" s="1">
        <v>0.01</v>
      </c>
      <c r="T3" s="1">
        <v>0</v>
      </c>
    </row>
    <row r="4" spans="1:26" s="1" customFormat="1" x14ac:dyDescent="0.3">
      <c r="A4" s="5"/>
      <c r="B4" s="5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M4" s="4" t="s">
        <v>3</v>
      </c>
      <c r="N4" s="4" t="s">
        <v>4</v>
      </c>
      <c r="O4" s="4" t="s">
        <v>5</v>
      </c>
      <c r="P4" s="4" t="s">
        <v>6</v>
      </c>
      <c r="Q4" s="4" t="s">
        <v>7</v>
      </c>
      <c r="R4" s="4" t="s">
        <v>8</v>
      </c>
      <c r="S4" s="4" t="s">
        <v>9</v>
      </c>
      <c r="T4" s="4" t="s">
        <v>10</v>
      </c>
    </row>
    <row r="5" spans="1:26" s="1" customFormat="1" x14ac:dyDescent="0.3">
      <c r="A5" s="3">
        <v>0</v>
      </c>
      <c r="B5" s="2">
        <f>1.4+0.1*0.5376/0.8057</f>
        <v>1.4667245873153778</v>
      </c>
      <c r="C5" s="2">
        <f>0.6+0.8*M5/6.4457</f>
        <v>0.6625160960019858</v>
      </c>
      <c r="D5" s="2">
        <f t="shared" ref="D5:D52" si="0">0.7+0.8*N5/6.4457</f>
        <v>0.71905146066369818</v>
      </c>
      <c r="E5" s="2">
        <f>0.8+0.9*O5/7.2514</f>
        <v>0.80276774140166041</v>
      </c>
      <c r="F5" s="2">
        <f>0.8+0.7*P5/5.64</f>
        <v>0.87995390070921986</v>
      </c>
      <c r="G5" s="2">
        <f>0.9+0.5*Q5/4.0286</f>
        <v>0.98821923248771282</v>
      </c>
      <c r="H5" s="2">
        <f>1+0.4*R5/3.2229</f>
        <v>1.0577492320580844</v>
      </c>
      <c r="I5" s="2">
        <f>1.1+0.2*S5/1.6114</f>
        <v>1.1576765545488397</v>
      </c>
      <c r="J5" s="2">
        <f>1.2+0.4*T5/3.2229</f>
        <v>1.2847311427596264</v>
      </c>
      <c r="M5" s="1">
        <v>0.50370000000000004</v>
      </c>
      <c r="N5" s="1">
        <v>0.1535</v>
      </c>
      <c r="O5" s="1">
        <v>2.23E-2</v>
      </c>
      <c r="P5" s="1">
        <v>0.64419999999999999</v>
      </c>
      <c r="Q5" s="1">
        <v>0.71079999999999999</v>
      </c>
      <c r="R5" s="1">
        <v>0.46529999999999999</v>
      </c>
      <c r="S5" s="1">
        <v>0.4647</v>
      </c>
      <c r="T5">
        <v>0.68269999999999997</v>
      </c>
    </row>
    <row r="6" spans="1:26" x14ac:dyDescent="0.3">
      <c r="A6">
        <f>A5+0.0004</f>
        <v>4.0000000000000002E-4</v>
      </c>
      <c r="B6" s="2">
        <f>1.4+0.1*0.5888/0.8057</f>
        <v>1.4730793099168424</v>
      </c>
      <c r="C6" s="2">
        <f t="shared" ref="C6:C51" si="1">0.6+0.8*M6/6.4457</f>
        <v>0.67534945777805355</v>
      </c>
      <c r="D6" s="2">
        <f t="shared" si="0"/>
        <v>0.73492560932094264</v>
      </c>
      <c r="E6" s="2">
        <f t="shared" ref="E6:E53" si="2">0.8+0.9*O6/7.2514</f>
        <v>0.81361530187274189</v>
      </c>
      <c r="F6" s="2">
        <f t="shared" ref="F6:F48" si="3">0.8+0.7*P6/5.64</f>
        <v>0.88960992907801417</v>
      </c>
      <c r="G6" s="2">
        <f t="shared" ref="G6:G39" si="4">0.9+0.5*Q6/4.0286</f>
        <v>0.99937695477337041</v>
      </c>
      <c r="H6" s="2">
        <f t="shared" ref="H6:H37" si="5">1+0.4*R6/3.2229</f>
        <v>1.0714635886934127</v>
      </c>
      <c r="I6" s="2">
        <f t="shared" ref="I6:I32" si="6">1.1+0.2*S6/1.6114</f>
        <v>1.1654213727193745</v>
      </c>
      <c r="J6" s="2">
        <f t="shared" ref="J6:J52" si="7">1.2+0.4*T6/3.2229</f>
        <v>1.2847311427596264</v>
      </c>
      <c r="M6">
        <v>0.60709999999999997</v>
      </c>
      <c r="N6">
        <v>0.28139999999999998</v>
      </c>
      <c r="O6" s="1">
        <v>0.10970000000000001</v>
      </c>
      <c r="P6">
        <v>0.72199999999999998</v>
      </c>
      <c r="Q6">
        <v>0.80069999999999997</v>
      </c>
      <c r="R6">
        <v>0.57579999999999998</v>
      </c>
      <c r="S6">
        <v>0.52710000000000001</v>
      </c>
      <c r="T6">
        <v>0.68269999999999997</v>
      </c>
      <c r="Z6" s="1"/>
    </row>
    <row r="7" spans="1:26" x14ac:dyDescent="0.3">
      <c r="A7">
        <f t="shared" ref="A7:A55" si="8">A6+0.0004</f>
        <v>8.0000000000000004E-4</v>
      </c>
      <c r="B7" s="2">
        <f>1.4+0.1*0.6392/0.8057</f>
        <v>1.4793347399776591</v>
      </c>
      <c r="C7" s="2">
        <f t="shared" si="1"/>
        <v>0.68651969530074308</v>
      </c>
      <c r="D7" s="2">
        <f t="shared" si="0"/>
        <v>0.748503653598523</v>
      </c>
      <c r="E7" s="2">
        <f t="shared" si="2"/>
        <v>0.82297349477342308</v>
      </c>
      <c r="F7" s="2">
        <f t="shared" si="3"/>
        <v>0.89890602836879441</v>
      </c>
      <c r="G7" s="2">
        <f t="shared" si="4"/>
        <v>1.0085488755398897</v>
      </c>
      <c r="H7" s="2">
        <f t="shared" si="5"/>
        <v>1.0834403797821837</v>
      </c>
      <c r="I7" s="2">
        <f t="shared" si="6"/>
        <v>1.1733151297008813</v>
      </c>
      <c r="J7" s="2">
        <f t="shared" si="7"/>
        <v>1.2847311427596264</v>
      </c>
      <c r="M7">
        <v>0.69710000000000005</v>
      </c>
      <c r="N7">
        <v>0.39079999999999998</v>
      </c>
      <c r="O7">
        <v>0.18509999999999999</v>
      </c>
      <c r="P7">
        <v>0.79690000000000005</v>
      </c>
      <c r="Q7">
        <v>0.87460000000000004</v>
      </c>
      <c r="R7">
        <v>0.67230000000000001</v>
      </c>
      <c r="S7">
        <v>0.5907</v>
      </c>
      <c r="T7">
        <v>0.68269999999999997</v>
      </c>
      <c r="Z7" s="1"/>
    </row>
    <row r="8" spans="1:26" x14ac:dyDescent="0.3">
      <c r="A8">
        <f t="shared" si="8"/>
        <v>1.2000000000000001E-3</v>
      </c>
      <c r="B8" s="2">
        <f>1.4+0.1*0.6815/0.8057</f>
        <v>1.484584833064416</v>
      </c>
      <c r="C8" s="2">
        <f t="shared" si="1"/>
        <v>0.69692042757186956</v>
      </c>
      <c r="D8" s="2">
        <f t="shared" si="0"/>
        <v>0.75962424562111175</v>
      </c>
      <c r="E8" s="2">
        <f t="shared" si="2"/>
        <v>0.83063132636456416</v>
      </c>
      <c r="F8" s="2">
        <f t="shared" si="3"/>
        <v>0.90862411347517735</v>
      </c>
      <c r="G8" s="2">
        <f t="shared" si="4"/>
        <v>1.0183785930596236</v>
      </c>
      <c r="H8" s="2">
        <f t="shared" si="5"/>
        <v>1.0946600887399547</v>
      </c>
      <c r="I8" s="2">
        <f t="shared" si="6"/>
        <v>1.1794216209507262</v>
      </c>
      <c r="J8" s="2">
        <f t="shared" si="7"/>
        <v>1.2847311427596264</v>
      </c>
      <c r="M8">
        <v>0.78090000000000004</v>
      </c>
      <c r="N8">
        <v>0.48039999999999999</v>
      </c>
      <c r="O8">
        <v>0.24679999999999999</v>
      </c>
      <c r="P8">
        <v>0.87519999999999998</v>
      </c>
      <c r="Q8">
        <v>0.95379999999999998</v>
      </c>
      <c r="R8">
        <v>0.76270000000000004</v>
      </c>
      <c r="S8">
        <v>0.63990000000000002</v>
      </c>
      <c r="T8">
        <v>0.68269999999999997</v>
      </c>
      <c r="Z8" s="1"/>
    </row>
    <row r="9" spans="1:26" x14ac:dyDescent="0.3">
      <c r="A9">
        <f t="shared" si="8"/>
        <v>1.6000000000000001E-3</v>
      </c>
      <c r="B9" s="2">
        <f>1.4+0.1*0.7179/0.8057</f>
        <v>1.4891026436638948</v>
      </c>
      <c r="C9" s="2">
        <f t="shared" si="1"/>
        <v>0.70570768108971871</v>
      </c>
      <c r="D9" s="2">
        <f t="shared" si="0"/>
        <v>0.76996292101711217</v>
      </c>
      <c r="E9" s="2">
        <f t="shared" si="2"/>
        <v>0.83892213917312519</v>
      </c>
      <c r="F9" s="2">
        <f t="shared" si="3"/>
        <v>0.91660460992907811</v>
      </c>
      <c r="G9" s="2">
        <f t="shared" si="4"/>
        <v>1.0274015787122077</v>
      </c>
      <c r="H9" s="2">
        <f t="shared" si="5"/>
        <v>1.1030996928232337</v>
      </c>
      <c r="I9" s="2">
        <f t="shared" si="6"/>
        <v>1.1856894625791239</v>
      </c>
      <c r="J9" s="2">
        <f t="shared" si="7"/>
        <v>1.2847311427596264</v>
      </c>
      <c r="M9">
        <v>0.85170000000000001</v>
      </c>
      <c r="N9">
        <v>0.56369999999999998</v>
      </c>
      <c r="O9">
        <v>0.31359999999999999</v>
      </c>
      <c r="P9">
        <v>0.9395</v>
      </c>
      <c r="Q9">
        <v>1.0265</v>
      </c>
      <c r="R9">
        <v>0.83069999999999999</v>
      </c>
      <c r="S9">
        <v>0.69040000000000001</v>
      </c>
      <c r="T9">
        <v>0.68269999999999997</v>
      </c>
      <c r="Z9" s="1"/>
    </row>
    <row r="10" spans="1:26" x14ac:dyDescent="0.3">
      <c r="A10">
        <f t="shared" si="8"/>
        <v>2E-3</v>
      </c>
      <c r="B10" s="2">
        <f>1.4+0.1*0.7615/0.8057</f>
        <v>1.4945140871292044</v>
      </c>
      <c r="C10" s="2">
        <f t="shared" si="1"/>
        <v>0.71501621235862667</v>
      </c>
      <c r="D10" s="2">
        <f t="shared" si="0"/>
        <v>0.77911010441069239</v>
      </c>
      <c r="E10" s="2">
        <f t="shared" si="2"/>
        <v>0.8474611799100864</v>
      </c>
      <c r="F10" s="2">
        <f t="shared" si="3"/>
        <v>0.92499468085106384</v>
      </c>
      <c r="G10" s="2">
        <f t="shared" si="4"/>
        <v>1.0349476244849327</v>
      </c>
      <c r="H10" s="2">
        <f t="shared" si="5"/>
        <v>1.1110056160600701</v>
      </c>
      <c r="I10" s="2">
        <f t="shared" si="6"/>
        <v>1.190604443341194</v>
      </c>
      <c r="J10" s="2">
        <f t="shared" si="7"/>
        <v>1.2847311427596264</v>
      </c>
      <c r="M10">
        <v>0.92669999999999997</v>
      </c>
      <c r="N10">
        <v>0.63739999999999997</v>
      </c>
      <c r="O10">
        <v>0.38240000000000002</v>
      </c>
      <c r="P10">
        <v>1.0071000000000001</v>
      </c>
      <c r="Q10">
        <v>1.0872999999999999</v>
      </c>
      <c r="R10">
        <v>0.89439999999999997</v>
      </c>
      <c r="S10">
        <v>0.73</v>
      </c>
      <c r="T10">
        <v>0.68269999999999997</v>
      </c>
      <c r="Z10" s="1"/>
    </row>
    <row r="11" spans="1:26" x14ac:dyDescent="0.3">
      <c r="A11">
        <f t="shared" si="8"/>
        <v>2.4000000000000002E-3</v>
      </c>
      <c r="B11" s="2">
        <f>1.4+0.1*0.8032/0.8057</f>
        <v>1.4996897108104752</v>
      </c>
      <c r="C11" s="2">
        <f t="shared" si="1"/>
        <v>0.72353041562592113</v>
      </c>
      <c r="D11" s="2">
        <f t="shared" si="0"/>
        <v>0.78961012768202055</v>
      </c>
      <c r="E11" s="2">
        <f t="shared" si="2"/>
        <v>0.85448603028380732</v>
      </c>
      <c r="F11" s="2">
        <f t="shared" si="3"/>
        <v>0.93267730496453904</v>
      </c>
      <c r="G11" s="2">
        <f t="shared" si="4"/>
        <v>1.0430769994539046</v>
      </c>
      <c r="H11" s="2">
        <f t="shared" si="5"/>
        <v>1.1185019702752179</v>
      </c>
      <c r="I11" s="2">
        <f t="shared" si="6"/>
        <v>1.1955194241032643</v>
      </c>
      <c r="J11" s="2">
        <f t="shared" si="7"/>
        <v>1.2847311427596264</v>
      </c>
      <c r="M11">
        <v>0.99529999999999996</v>
      </c>
      <c r="N11">
        <v>0.72199999999999998</v>
      </c>
      <c r="O11">
        <v>0.439</v>
      </c>
      <c r="P11">
        <v>1.069</v>
      </c>
      <c r="Q11">
        <v>1.1528</v>
      </c>
      <c r="R11">
        <v>0.95479999999999998</v>
      </c>
      <c r="S11">
        <v>0.76959999999999995</v>
      </c>
      <c r="T11">
        <v>0.68269999999999997</v>
      </c>
      <c r="Z11" s="1"/>
    </row>
    <row r="12" spans="1:26" x14ac:dyDescent="0.3">
      <c r="A12">
        <f t="shared" si="8"/>
        <v>2.8000000000000004E-3</v>
      </c>
      <c r="B12" s="2">
        <f>1.5+0.1*0.0309/0.8057</f>
        <v>1.5038351743825245</v>
      </c>
      <c r="C12" s="2">
        <f t="shared" si="1"/>
        <v>0.73123787951657693</v>
      </c>
      <c r="D12" s="2">
        <f t="shared" si="0"/>
        <v>0.79901794995113018</v>
      </c>
      <c r="E12" s="2">
        <f t="shared" si="2"/>
        <v>0.86192045673938833</v>
      </c>
      <c r="F12" s="2">
        <f t="shared" si="3"/>
        <v>0.93988829787234041</v>
      </c>
      <c r="G12" s="2">
        <f t="shared" si="4"/>
        <v>1.0505485776696619</v>
      </c>
      <c r="H12" s="2">
        <f t="shared" si="5"/>
        <v>1.1256259890161036</v>
      </c>
      <c r="I12" s="2">
        <f t="shared" si="6"/>
        <v>1.1990318977286831</v>
      </c>
      <c r="J12" s="2">
        <f t="shared" si="7"/>
        <v>1.2847311427596264</v>
      </c>
      <c r="M12">
        <v>1.0573999999999999</v>
      </c>
      <c r="N12">
        <v>0.79779999999999995</v>
      </c>
      <c r="O12">
        <v>0.49890000000000001</v>
      </c>
      <c r="P12">
        <v>1.1271</v>
      </c>
      <c r="Q12">
        <v>1.2130000000000001</v>
      </c>
      <c r="R12">
        <v>1.0122</v>
      </c>
      <c r="S12">
        <v>0.79790000000000005</v>
      </c>
      <c r="T12">
        <v>0.68269999999999997</v>
      </c>
      <c r="Z12" s="1"/>
    </row>
    <row r="13" spans="1:26" x14ac:dyDescent="0.3">
      <c r="A13">
        <f t="shared" si="8"/>
        <v>3.2000000000000006E-3</v>
      </c>
      <c r="B13" s="2">
        <f>1.5+0.1*0.0684/0.8057</f>
        <v>1.5084895122253941</v>
      </c>
      <c r="C13" s="2">
        <f t="shared" si="1"/>
        <v>0.73868470453170332</v>
      </c>
      <c r="D13" s="2">
        <f t="shared" si="0"/>
        <v>0.80765626696867676</v>
      </c>
      <c r="E13" s="2">
        <f t="shared" si="2"/>
        <v>0.8695782883305293</v>
      </c>
      <c r="F13" s="2">
        <f t="shared" si="3"/>
        <v>0.94673936170212769</v>
      </c>
      <c r="G13" s="2">
        <f t="shared" si="4"/>
        <v>1.0570893114233233</v>
      </c>
      <c r="H13" s="2">
        <f t="shared" si="5"/>
        <v>1.1313351329547923</v>
      </c>
      <c r="I13" s="2">
        <f t="shared" si="6"/>
        <v>1.2030532456249226</v>
      </c>
      <c r="J13" s="2">
        <f t="shared" si="7"/>
        <v>1.2847311427596264</v>
      </c>
      <c r="M13">
        <v>1.1173999999999999</v>
      </c>
      <c r="N13">
        <v>0.86739999999999995</v>
      </c>
      <c r="O13">
        <v>0.56059999999999999</v>
      </c>
      <c r="P13">
        <v>1.1822999999999999</v>
      </c>
      <c r="Q13">
        <v>1.2657</v>
      </c>
      <c r="R13">
        <v>1.0582</v>
      </c>
      <c r="S13">
        <v>0.83030000000000004</v>
      </c>
      <c r="T13">
        <v>0.68269999999999997</v>
      </c>
      <c r="Z13" s="1"/>
    </row>
    <row r="14" spans="1:26" x14ac:dyDescent="0.3">
      <c r="A14">
        <f t="shared" si="8"/>
        <v>3.6000000000000008E-3</v>
      </c>
      <c r="B14" s="2">
        <f>1.5+0.1*0.1049/0.8057</f>
        <v>1.5130197343924539</v>
      </c>
      <c r="C14" s="2">
        <f t="shared" si="1"/>
        <v>0.7467024527979893</v>
      </c>
      <c r="D14" s="2">
        <f t="shared" si="0"/>
        <v>0.8158725972353662</v>
      </c>
      <c r="E14" s="2">
        <f t="shared" si="2"/>
        <v>0.87681413244339024</v>
      </c>
      <c r="F14" s="2">
        <f t="shared" si="3"/>
        <v>0.95427304964539017</v>
      </c>
      <c r="G14" s="2">
        <f t="shared" si="4"/>
        <v>1.0657771930695528</v>
      </c>
      <c r="H14" s="2">
        <f t="shared" si="5"/>
        <v>1.1372925005429892</v>
      </c>
      <c r="I14" s="2">
        <f t="shared" si="6"/>
        <v>1.205299739357081</v>
      </c>
      <c r="J14" s="2">
        <f t="shared" si="7"/>
        <v>1.2847311427596264</v>
      </c>
      <c r="M14">
        <v>1.1819999999999999</v>
      </c>
      <c r="N14">
        <v>0.93359999999999999</v>
      </c>
      <c r="O14">
        <v>0.61890000000000001</v>
      </c>
      <c r="P14">
        <v>1.2430000000000001</v>
      </c>
      <c r="Q14">
        <v>1.3357000000000001</v>
      </c>
      <c r="R14">
        <v>1.1062000000000001</v>
      </c>
      <c r="S14">
        <v>0.84840000000000004</v>
      </c>
      <c r="T14">
        <v>0.68269999999999997</v>
      </c>
      <c r="Z14" s="1"/>
    </row>
    <row r="15" spans="1:26" x14ac:dyDescent="0.3">
      <c r="A15">
        <f t="shared" si="8"/>
        <v>4.000000000000001E-3</v>
      </c>
      <c r="B15" s="2">
        <f>1.5+0.1*0.1442/0.8057</f>
        <v>1.5178974804517811</v>
      </c>
      <c r="C15" s="2">
        <f t="shared" si="1"/>
        <v>0.75328048156135097</v>
      </c>
      <c r="D15" s="2">
        <f t="shared" si="0"/>
        <v>0.82488325550366903</v>
      </c>
      <c r="E15" s="2">
        <f t="shared" si="2"/>
        <v>0.8853159389910914</v>
      </c>
      <c r="F15" s="2">
        <f t="shared" si="3"/>
        <v>0.96410283687943266</v>
      </c>
      <c r="G15" s="2">
        <f t="shared" si="4"/>
        <v>1.0719828228168595</v>
      </c>
      <c r="H15" s="2">
        <f t="shared" si="5"/>
        <v>1.143001644481678</v>
      </c>
      <c r="I15" s="2">
        <f t="shared" si="6"/>
        <v>1.207844110711183</v>
      </c>
      <c r="J15" s="2">
        <f t="shared" si="7"/>
        <v>1.2847311427596264</v>
      </c>
      <c r="M15">
        <v>1.2350000000000001</v>
      </c>
      <c r="N15">
        <v>1.0062</v>
      </c>
      <c r="O15">
        <v>0.68740000000000001</v>
      </c>
      <c r="P15">
        <v>1.3222</v>
      </c>
      <c r="Q15">
        <v>1.3856999999999999</v>
      </c>
      <c r="R15">
        <v>1.1521999999999999</v>
      </c>
      <c r="S15">
        <v>0.86890000000000001</v>
      </c>
      <c r="T15">
        <v>0.68269999999999997</v>
      </c>
      <c r="Z15" s="1"/>
    </row>
    <row r="16" spans="1:26" x14ac:dyDescent="0.3">
      <c r="A16">
        <f t="shared" si="8"/>
        <v>4.4000000000000011E-3</v>
      </c>
      <c r="B16" s="2">
        <f>1.5+0.1*0.1804/0.8057</f>
        <v>1.5223904679160978</v>
      </c>
      <c r="C16" s="2">
        <f t="shared" si="1"/>
        <v>0.76056595870114962</v>
      </c>
      <c r="D16" s="2">
        <f t="shared" si="0"/>
        <v>0.8328265355198039</v>
      </c>
      <c r="E16" s="2">
        <f t="shared" si="2"/>
        <v>0.8959897399122928</v>
      </c>
      <c r="F16" s="2">
        <f t="shared" si="3"/>
        <v>0.97492553191489362</v>
      </c>
      <c r="G16" s="2">
        <f t="shared" si="4"/>
        <v>1.0797522712604875</v>
      </c>
      <c r="H16" s="2">
        <f t="shared" si="5"/>
        <v>1.1490458903472027</v>
      </c>
      <c r="I16" s="2">
        <f t="shared" si="6"/>
        <v>1.2102271316867321</v>
      </c>
      <c r="J16" s="2">
        <f t="shared" si="7"/>
        <v>1.2847311427596264</v>
      </c>
      <c r="M16">
        <v>1.2937000000000001</v>
      </c>
      <c r="N16">
        <v>1.0702</v>
      </c>
      <c r="O16">
        <v>0.77339999999999998</v>
      </c>
      <c r="P16">
        <v>1.4094</v>
      </c>
      <c r="Q16">
        <v>1.4482999999999999</v>
      </c>
      <c r="R16">
        <v>1.2009000000000001</v>
      </c>
      <c r="S16">
        <v>0.8881</v>
      </c>
      <c r="T16">
        <v>0.68269999999999997</v>
      </c>
      <c r="Z16" s="1"/>
    </row>
    <row r="17" spans="1:26" x14ac:dyDescent="0.3">
      <c r="A17">
        <f t="shared" si="8"/>
        <v>4.8000000000000013E-3</v>
      </c>
      <c r="B17" s="2">
        <f>1.5+0.1*0.2136/0.8057</f>
        <v>1.526511108352985</v>
      </c>
      <c r="C17" s="2">
        <f t="shared" si="1"/>
        <v>0.76941526909412472</v>
      </c>
      <c r="D17" s="2">
        <f t="shared" si="0"/>
        <v>0.84240811703926644</v>
      </c>
      <c r="E17" s="2">
        <f t="shared" si="2"/>
        <v>0.90662630664423427</v>
      </c>
      <c r="F17" s="2">
        <f t="shared" si="3"/>
        <v>0.98526418439716312</v>
      </c>
      <c r="G17" s="2">
        <f t="shared" si="4"/>
        <v>1.0882043389763194</v>
      </c>
      <c r="H17" s="2">
        <f t="shared" si="5"/>
        <v>1.1552018368550063</v>
      </c>
      <c r="I17" s="2">
        <f t="shared" si="6"/>
        <v>1.2138140747176369</v>
      </c>
      <c r="J17" s="2">
        <f t="shared" si="7"/>
        <v>1.2847311427596264</v>
      </c>
      <c r="M17">
        <v>1.365</v>
      </c>
      <c r="N17">
        <v>1.1474</v>
      </c>
      <c r="O17">
        <v>0.85909999999999997</v>
      </c>
      <c r="P17">
        <v>1.4926999999999999</v>
      </c>
      <c r="Q17">
        <v>1.5164</v>
      </c>
      <c r="R17">
        <v>1.2504999999999999</v>
      </c>
      <c r="S17">
        <v>0.91700000000000004</v>
      </c>
      <c r="T17">
        <v>0.68269999999999997</v>
      </c>
      <c r="Z17" s="1"/>
    </row>
    <row r="18" spans="1:26" x14ac:dyDescent="0.3">
      <c r="A18">
        <f t="shared" si="8"/>
        <v>5.2000000000000015E-3</v>
      </c>
      <c r="B18" s="2">
        <f>1.5+0.1*0.2415/0.8057</f>
        <v>1.5299739357080799</v>
      </c>
      <c r="C18" s="2">
        <f t="shared" si="1"/>
        <v>0.77766883348588978</v>
      </c>
      <c r="D18" s="2">
        <f t="shared" si="0"/>
        <v>0.85048792218067848</v>
      </c>
      <c r="E18" s="2">
        <f t="shared" si="2"/>
        <v>0.91831784207187583</v>
      </c>
      <c r="F18" s="2">
        <f t="shared" si="3"/>
        <v>0.99699290780141847</v>
      </c>
      <c r="G18" s="2">
        <f t="shared" si="4"/>
        <v>1.0986049744328055</v>
      </c>
      <c r="H18" s="2">
        <f t="shared" si="5"/>
        <v>1.1610971485308264</v>
      </c>
      <c r="I18" s="2">
        <f t="shared" si="6"/>
        <v>1.2171031401265981</v>
      </c>
      <c r="J18" s="2">
        <f t="shared" si="7"/>
        <v>1.2847311427596264</v>
      </c>
      <c r="M18">
        <v>1.4315</v>
      </c>
      <c r="N18">
        <v>1.2124999999999999</v>
      </c>
      <c r="O18">
        <v>0.95330000000000004</v>
      </c>
      <c r="P18">
        <v>1.5871999999999999</v>
      </c>
      <c r="Q18">
        <v>1.6002000000000001</v>
      </c>
      <c r="R18">
        <v>1.298</v>
      </c>
      <c r="S18">
        <v>0.94350000000000001</v>
      </c>
      <c r="T18">
        <v>0.68269999999999997</v>
      </c>
      <c r="Z18" s="1"/>
    </row>
    <row r="19" spans="1:26" x14ac:dyDescent="0.3">
      <c r="A19">
        <f t="shared" si="8"/>
        <v>5.6000000000000017E-3</v>
      </c>
      <c r="B19" s="2">
        <f>1.5+0.1*0.2711/0.8057</f>
        <v>1.5336477597120517</v>
      </c>
      <c r="C19" s="2">
        <f t="shared" si="1"/>
        <v>0.78732488325550365</v>
      </c>
      <c r="D19" s="2">
        <f t="shared" si="0"/>
        <v>0.85817056332128394</v>
      </c>
      <c r="E19" s="2">
        <f t="shared" si="2"/>
        <v>0.93086576385249753</v>
      </c>
      <c r="F19" s="2">
        <f t="shared" si="3"/>
        <v>1.0090691489361703</v>
      </c>
      <c r="G19" s="2">
        <f t="shared" si="4"/>
        <v>1.1062130765030036</v>
      </c>
      <c r="H19" s="2">
        <f t="shared" si="5"/>
        <v>1.1681094666294332</v>
      </c>
      <c r="I19" s="2">
        <f t="shared" si="6"/>
        <v>1.2217574779694675</v>
      </c>
      <c r="J19" s="2">
        <f t="shared" si="7"/>
        <v>1.2847311427596264</v>
      </c>
      <c r="M19">
        <v>1.5093000000000001</v>
      </c>
      <c r="N19">
        <v>1.2744</v>
      </c>
      <c r="O19">
        <v>1.0544</v>
      </c>
      <c r="P19">
        <v>1.6845000000000001</v>
      </c>
      <c r="Q19">
        <v>1.6615</v>
      </c>
      <c r="R19">
        <v>1.3545</v>
      </c>
      <c r="S19">
        <v>0.98099999999999998</v>
      </c>
      <c r="T19">
        <v>0.68269999999999997</v>
      </c>
      <c r="Z19" s="1"/>
    </row>
    <row r="20" spans="1:26" x14ac:dyDescent="0.3">
      <c r="A20">
        <f t="shared" si="8"/>
        <v>6.0000000000000019E-3</v>
      </c>
      <c r="B20" s="2">
        <f>1.5+0.1*0.2983/0.8057</f>
        <v>1.5370237060940797</v>
      </c>
      <c r="C20" s="2">
        <f t="shared" si="1"/>
        <v>0.79816001365251255</v>
      </c>
      <c r="D20" s="2">
        <f t="shared" si="0"/>
        <v>0.86761561971546919</v>
      </c>
      <c r="E20" s="2">
        <f t="shared" si="2"/>
        <v>0.94328957166891914</v>
      </c>
      <c r="F20" s="2">
        <f t="shared" si="3"/>
        <v>1.0212695035460992</v>
      </c>
      <c r="G20" s="2">
        <f t="shared" si="4"/>
        <v>1.1145658541428785</v>
      </c>
      <c r="H20" s="2">
        <f t="shared" si="5"/>
        <v>1.174910794625958</v>
      </c>
      <c r="I20" s="2">
        <f t="shared" si="6"/>
        <v>1.2249968971081049</v>
      </c>
      <c r="J20" s="2">
        <f t="shared" si="7"/>
        <v>1.2847311427596264</v>
      </c>
      <c r="M20">
        <v>1.5966</v>
      </c>
      <c r="N20">
        <v>1.3505</v>
      </c>
      <c r="O20">
        <v>1.1545000000000001</v>
      </c>
      <c r="P20">
        <v>1.7827999999999999</v>
      </c>
      <c r="Q20">
        <v>1.7287999999999999</v>
      </c>
      <c r="R20">
        <v>1.4093</v>
      </c>
      <c r="S20">
        <v>1.0071000000000001</v>
      </c>
      <c r="T20">
        <v>0.68269999999999997</v>
      </c>
      <c r="Z20" s="1"/>
    </row>
    <row r="21" spans="1:26" x14ac:dyDescent="0.3">
      <c r="A21">
        <f t="shared" si="8"/>
        <v>6.400000000000002E-3</v>
      </c>
      <c r="B21" s="2">
        <f>1.5+0.1*0.3223/0.8057</f>
        <v>1.5400024823135161</v>
      </c>
      <c r="C21" s="2">
        <f t="shared" si="1"/>
        <v>0.81045968630249621</v>
      </c>
      <c r="D21" s="2">
        <f t="shared" si="0"/>
        <v>0.87795429511146961</v>
      </c>
      <c r="E21" s="2">
        <f t="shared" si="2"/>
        <v>0.9539261384008606</v>
      </c>
      <c r="F21" s="2">
        <f t="shared" si="3"/>
        <v>1.0331471631205675</v>
      </c>
      <c r="G21" s="2">
        <f t="shared" si="4"/>
        <v>1.1250037233778485</v>
      </c>
      <c r="H21" s="2">
        <f t="shared" si="5"/>
        <v>1.1817369449874338</v>
      </c>
      <c r="I21" s="2">
        <f t="shared" si="6"/>
        <v>1.2289313640312773</v>
      </c>
      <c r="J21" s="2">
        <f t="shared" si="7"/>
        <v>1.2847311427596264</v>
      </c>
      <c r="M21">
        <v>1.6957</v>
      </c>
      <c r="N21">
        <v>1.4338</v>
      </c>
      <c r="O21">
        <v>1.2402</v>
      </c>
      <c r="P21">
        <v>1.8785000000000001</v>
      </c>
      <c r="Q21">
        <v>1.8129</v>
      </c>
      <c r="R21">
        <v>1.4642999999999999</v>
      </c>
      <c r="S21">
        <v>1.0387999999999999</v>
      </c>
      <c r="T21">
        <v>0.68269999999999997</v>
      </c>
      <c r="Z21" s="1"/>
    </row>
    <row r="22" spans="1:26" x14ac:dyDescent="0.3">
      <c r="A22">
        <f t="shared" si="8"/>
        <v>6.8000000000000022E-3</v>
      </c>
      <c r="B22" s="2">
        <f>1.5+0.1*0.3571/0.8057</f>
        <v>1.5443217078316991</v>
      </c>
      <c r="C22" s="2">
        <f t="shared" si="1"/>
        <v>0.82344198457886653</v>
      </c>
      <c r="D22" s="2">
        <f t="shared" si="0"/>
        <v>0.88895077338380624</v>
      </c>
      <c r="E22" s="2">
        <f t="shared" si="2"/>
        <v>0.9660396613067822</v>
      </c>
      <c r="F22" s="2">
        <f t="shared" si="3"/>
        <v>1.0450744680851063</v>
      </c>
      <c r="G22" s="2">
        <f t="shared" si="4"/>
        <v>1.1347465620811201</v>
      </c>
      <c r="H22" s="2">
        <f t="shared" si="5"/>
        <v>1.1896552794067454</v>
      </c>
      <c r="I22" s="2">
        <f t="shared" si="6"/>
        <v>1.2344917463075586</v>
      </c>
      <c r="J22" s="2">
        <f t="shared" si="7"/>
        <v>1.2847311427596264</v>
      </c>
      <c r="M22">
        <v>1.8003</v>
      </c>
      <c r="N22">
        <v>1.5224</v>
      </c>
      <c r="O22">
        <v>1.3378000000000001</v>
      </c>
      <c r="P22">
        <v>1.9745999999999999</v>
      </c>
      <c r="Q22">
        <v>1.8914</v>
      </c>
      <c r="R22">
        <v>1.5281</v>
      </c>
      <c r="S22">
        <v>1.0835999999999999</v>
      </c>
      <c r="T22">
        <v>0.68269999999999997</v>
      </c>
    </row>
    <row r="23" spans="1:26" x14ac:dyDescent="0.3">
      <c r="A23">
        <f t="shared" si="8"/>
        <v>7.2000000000000024E-3</v>
      </c>
      <c r="B23" s="2">
        <f>1.5+0.1*0.3814/0.8057</f>
        <v>1.5473377187538786</v>
      </c>
      <c r="C23" s="2">
        <f t="shared" si="1"/>
        <v>0.83750407248243008</v>
      </c>
      <c r="D23" s="2">
        <f t="shared" si="0"/>
        <v>0.90053058628232763</v>
      </c>
      <c r="E23" s="2">
        <f t="shared" si="2"/>
        <v>0.9792329757012439</v>
      </c>
      <c r="F23" s="2">
        <f t="shared" si="3"/>
        <v>1.0584663120567377</v>
      </c>
      <c r="G23" s="2">
        <f t="shared" si="4"/>
        <v>1.1443776994489401</v>
      </c>
      <c r="H23" s="2">
        <f t="shared" si="5"/>
        <v>1.1971268112569424</v>
      </c>
      <c r="I23" s="2">
        <f t="shared" si="6"/>
        <v>1.2397170162591535</v>
      </c>
      <c r="J23" s="2">
        <f t="shared" si="7"/>
        <v>1.2847311427596264</v>
      </c>
      <c r="M23">
        <v>1.9136</v>
      </c>
      <c r="N23">
        <v>1.6156999999999999</v>
      </c>
      <c r="O23">
        <v>1.4440999999999999</v>
      </c>
      <c r="P23">
        <v>2.0825</v>
      </c>
      <c r="Q23">
        <v>1.9690000000000001</v>
      </c>
      <c r="R23">
        <v>1.5883</v>
      </c>
      <c r="S23">
        <v>1.1256999999999999</v>
      </c>
      <c r="T23">
        <v>0.68269999999999997</v>
      </c>
    </row>
    <row r="24" spans="1:26" x14ac:dyDescent="0.3">
      <c r="A24">
        <f t="shared" si="8"/>
        <v>7.6000000000000026E-3</v>
      </c>
      <c r="B24" s="2">
        <f>1.5+0.1*0.4066/0.8057</f>
        <v>1.5504654337842869</v>
      </c>
      <c r="C24" s="2">
        <f t="shared" si="1"/>
        <v>0.8525590703880106</v>
      </c>
      <c r="D24" s="2">
        <f t="shared" si="0"/>
        <v>0.91403416230975676</v>
      </c>
      <c r="E24" s="2">
        <f t="shared" si="2"/>
        <v>0.99581460131836619</v>
      </c>
      <c r="F24" s="2">
        <f t="shared" si="3"/>
        <v>1.072168439716312</v>
      </c>
      <c r="G24" s="2">
        <f t="shared" si="4"/>
        <v>1.1551506726902647</v>
      </c>
      <c r="H24" s="2">
        <f t="shared" si="5"/>
        <v>1.2046231654720905</v>
      </c>
      <c r="I24" s="2">
        <f t="shared" si="6"/>
        <v>1.2458483306441606</v>
      </c>
      <c r="J24" s="2">
        <f t="shared" si="7"/>
        <v>1.2847311427596264</v>
      </c>
      <c r="M24">
        <v>2.0348999999999999</v>
      </c>
      <c r="N24">
        <v>1.7244999999999999</v>
      </c>
      <c r="O24">
        <v>1.5777000000000001</v>
      </c>
      <c r="P24">
        <v>2.1928999999999998</v>
      </c>
      <c r="Q24">
        <v>2.0558000000000001</v>
      </c>
      <c r="R24">
        <v>1.6487000000000001</v>
      </c>
      <c r="S24">
        <v>1.1751</v>
      </c>
      <c r="T24">
        <v>0.68269999999999997</v>
      </c>
    </row>
    <row r="25" spans="1:26" x14ac:dyDescent="0.3">
      <c r="A25">
        <f t="shared" si="8"/>
        <v>8.0000000000000019E-3</v>
      </c>
      <c r="B25" s="2">
        <f>1.5+0.1*0.4315/0.8057</f>
        <v>1.5535559141119524</v>
      </c>
      <c r="C25" s="2">
        <f t="shared" si="1"/>
        <v>0.86502009091332199</v>
      </c>
      <c r="D25" s="2">
        <f t="shared" si="0"/>
        <v>0.92827000946367333</v>
      </c>
      <c r="E25" s="2">
        <f t="shared" si="2"/>
        <v>1.0088838017486279</v>
      </c>
      <c r="F25" s="2">
        <f t="shared" si="3"/>
        <v>1.0852624113475178</v>
      </c>
      <c r="G25" s="2">
        <f t="shared" si="4"/>
        <v>1.1659236459315891</v>
      </c>
      <c r="H25" s="2">
        <f t="shared" si="5"/>
        <v>1.2119954078624842</v>
      </c>
      <c r="I25" s="2">
        <f t="shared" si="6"/>
        <v>1.2511356584336601</v>
      </c>
      <c r="J25" s="2">
        <f t="shared" si="7"/>
        <v>1.2847311427596264</v>
      </c>
      <c r="M25">
        <v>2.1353</v>
      </c>
      <c r="N25">
        <v>1.8391999999999999</v>
      </c>
      <c r="O25">
        <v>1.6830000000000001</v>
      </c>
      <c r="P25">
        <v>2.2984</v>
      </c>
      <c r="Q25">
        <v>2.1425999999999998</v>
      </c>
      <c r="R25">
        <v>1.7081</v>
      </c>
      <c r="S25">
        <v>1.2177</v>
      </c>
      <c r="T25">
        <v>0.68269999999999997</v>
      </c>
    </row>
    <row r="26" spans="1:26" x14ac:dyDescent="0.3">
      <c r="A26">
        <f t="shared" si="8"/>
        <v>8.4000000000000012E-3</v>
      </c>
      <c r="B26" s="2">
        <f>1.5+0.1*0.455/0.8057</f>
        <v>1.5564726324934839</v>
      </c>
      <c r="C26" s="2">
        <f t="shared" si="1"/>
        <v>0.87758040243883517</v>
      </c>
      <c r="D26" s="2">
        <f t="shared" si="0"/>
        <v>0.94297748886854793</v>
      </c>
      <c r="E26" s="2">
        <f t="shared" si="2"/>
        <v>1.02483244614833</v>
      </c>
      <c r="F26" s="2">
        <f t="shared" si="3"/>
        <v>1.0999946808510639</v>
      </c>
      <c r="G26" s="2">
        <f t="shared" si="4"/>
        <v>1.1774661172615797</v>
      </c>
      <c r="H26" s="2">
        <f t="shared" si="5"/>
        <v>1.220459834310714</v>
      </c>
      <c r="I26" s="2">
        <f t="shared" si="6"/>
        <v>1.2565719250341318</v>
      </c>
      <c r="J26" s="2">
        <f t="shared" si="7"/>
        <v>1.2847311427596264</v>
      </c>
      <c r="M26">
        <v>2.2364999999999999</v>
      </c>
      <c r="N26">
        <v>1.9577</v>
      </c>
      <c r="O26">
        <v>1.8115000000000001</v>
      </c>
      <c r="P26">
        <v>2.4171</v>
      </c>
      <c r="Q26">
        <v>2.2355999999999998</v>
      </c>
      <c r="R26">
        <v>1.7763</v>
      </c>
      <c r="S26">
        <v>1.2615000000000001</v>
      </c>
      <c r="T26">
        <v>0.68269999999999997</v>
      </c>
    </row>
    <row r="27" spans="1:26" x14ac:dyDescent="0.3">
      <c r="A27">
        <f t="shared" si="8"/>
        <v>8.8000000000000005E-3</v>
      </c>
      <c r="B27" s="2">
        <f>1.5+0.1*0.4884/0.8057</f>
        <v>1.5606180960655331</v>
      </c>
      <c r="C27" s="2">
        <f t="shared" si="1"/>
        <v>0.89197759746807948</v>
      </c>
      <c r="D27" s="2">
        <f t="shared" si="0"/>
        <v>0.95715127914733844</v>
      </c>
      <c r="E27" s="2">
        <f t="shared" si="2"/>
        <v>1.0373803679289517</v>
      </c>
      <c r="F27" s="2">
        <f t="shared" si="3"/>
        <v>1.1138457446808512</v>
      </c>
      <c r="G27" s="2">
        <f t="shared" si="4"/>
        <v>1.1891699349650002</v>
      </c>
      <c r="H27" s="2">
        <f t="shared" si="5"/>
        <v>1.2285519252846815</v>
      </c>
      <c r="I27" s="2">
        <f t="shared" si="6"/>
        <v>1.2630879980141494</v>
      </c>
      <c r="J27" s="2">
        <f t="shared" si="7"/>
        <v>1.2847311427596264</v>
      </c>
      <c r="M27">
        <v>2.3525</v>
      </c>
      <c r="N27">
        <v>2.0718999999999999</v>
      </c>
      <c r="O27">
        <v>1.9126000000000001</v>
      </c>
      <c r="P27">
        <v>2.5287000000000002</v>
      </c>
      <c r="Q27">
        <v>2.3298999999999999</v>
      </c>
      <c r="R27">
        <v>1.8414999999999999</v>
      </c>
      <c r="S27">
        <v>1.3140000000000001</v>
      </c>
      <c r="T27">
        <v>0.68269999999999997</v>
      </c>
    </row>
    <row r="28" spans="1:26" x14ac:dyDescent="0.3">
      <c r="A28">
        <f t="shared" si="8"/>
        <v>9.1999999999999998E-3</v>
      </c>
      <c r="B28" s="2">
        <f>1.5+0.1*0.519/0.8057</f>
        <v>1.5644160357453147</v>
      </c>
      <c r="C28" s="2">
        <f t="shared" si="1"/>
        <v>0.90597762849651708</v>
      </c>
      <c r="D28" s="2">
        <f t="shared" si="0"/>
        <v>0.97163535380175925</v>
      </c>
      <c r="E28" s="2">
        <f t="shared" si="2"/>
        <v>1.0520506384973936</v>
      </c>
      <c r="F28" s="2">
        <f t="shared" si="3"/>
        <v>1.1282429078014184</v>
      </c>
      <c r="G28" s="2">
        <f t="shared" si="4"/>
        <v>1.1999925532443032</v>
      </c>
      <c r="H28" s="2">
        <f t="shared" si="5"/>
        <v>1.2356387104781408</v>
      </c>
      <c r="I28" s="2">
        <f t="shared" si="6"/>
        <v>1.2678664515328286</v>
      </c>
      <c r="J28" s="2">
        <f t="shared" si="7"/>
        <v>1.2847311427596264</v>
      </c>
      <c r="M28">
        <v>2.4653</v>
      </c>
      <c r="N28">
        <v>2.1886000000000001</v>
      </c>
      <c r="O28">
        <v>2.0308000000000002</v>
      </c>
      <c r="P28">
        <v>2.6446999999999998</v>
      </c>
      <c r="Q28">
        <v>2.4171</v>
      </c>
      <c r="R28">
        <v>1.8986000000000001</v>
      </c>
      <c r="S28">
        <v>1.3525</v>
      </c>
      <c r="T28">
        <v>0.68269999999999997</v>
      </c>
    </row>
    <row r="29" spans="1:26" x14ac:dyDescent="0.3">
      <c r="A29">
        <f t="shared" si="8"/>
        <v>9.5999999999999992E-3</v>
      </c>
      <c r="B29" s="2">
        <f>1.5+0.1*0.5532/0.8057</f>
        <v>1.5686607918580118</v>
      </c>
      <c r="C29" s="2">
        <f t="shared" si="1"/>
        <v>0.92026312115053444</v>
      </c>
      <c r="D29" s="2">
        <f t="shared" si="0"/>
        <v>0.98687652233271783</v>
      </c>
      <c r="E29" s="2">
        <f t="shared" si="2"/>
        <v>1.0660879278484154</v>
      </c>
      <c r="F29" s="2">
        <f t="shared" si="3"/>
        <v>1.141709219858156</v>
      </c>
      <c r="G29" s="2">
        <f t="shared" si="4"/>
        <v>1.2123293451819492</v>
      </c>
      <c r="H29" s="2">
        <f t="shared" si="5"/>
        <v>1.2447981631449936</v>
      </c>
      <c r="I29" s="2">
        <f t="shared" si="6"/>
        <v>1.2724214968350505</v>
      </c>
      <c r="J29" s="2">
        <f t="shared" si="7"/>
        <v>1.2847311427596264</v>
      </c>
      <c r="M29">
        <v>2.5804</v>
      </c>
      <c r="N29">
        <v>2.3113999999999999</v>
      </c>
      <c r="O29">
        <v>2.1438999999999999</v>
      </c>
      <c r="P29">
        <v>2.7532000000000001</v>
      </c>
      <c r="Q29">
        <v>2.5165000000000002</v>
      </c>
      <c r="R29">
        <v>1.9723999999999999</v>
      </c>
      <c r="S29">
        <v>1.3892</v>
      </c>
      <c r="T29">
        <v>0.68269999999999997</v>
      </c>
    </row>
    <row r="30" spans="1:26" x14ac:dyDescent="0.3">
      <c r="A30">
        <f t="shared" si="8"/>
        <v>9.9999999999999985E-3</v>
      </c>
      <c r="B30" s="2">
        <f>1.5+0.1*0.5942/0.8057</f>
        <v>1.5737495345662158</v>
      </c>
      <c r="C30" s="2">
        <f t="shared" si="1"/>
        <v>0.93647237693345953</v>
      </c>
      <c r="D30" s="2">
        <f t="shared" si="0"/>
        <v>1.0033340056161473</v>
      </c>
      <c r="E30" s="2">
        <f t="shared" si="2"/>
        <v>1.0818255785089776</v>
      </c>
      <c r="F30" s="2">
        <f t="shared" si="3"/>
        <v>1.1545797872340426</v>
      </c>
      <c r="G30" s="2">
        <f t="shared" si="4"/>
        <v>1.222643101821973</v>
      </c>
      <c r="H30" s="2">
        <f t="shared" si="5"/>
        <v>1.253126066585994</v>
      </c>
      <c r="I30" s="2">
        <f t="shared" si="6"/>
        <v>1.2773861238674447</v>
      </c>
      <c r="J30" s="2">
        <f t="shared" si="7"/>
        <v>1.2847311427596264</v>
      </c>
      <c r="M30">
        <v>2.7109999999999999</v>
      </c>
      <c r="N30">
        <v>2.444</v>
      </c>
      <c r="O30">
        <v>2.2707000000000002</v>
      </c>
      <c r="P30">
        <v>2.8569</v>
      </c>
      <c r="Q30">
        <v>2.5996000000000001</v>
      </c>
      <c r="R30">
        <v>2.0394999999999999</v>
      </c>
      <c r="S30">
        <v>1.4292</v>
      </c>
      <c r="T30">
        <v>0.68269999999999997</v>
      </c>
    </row>
    <row r="31" spans="1:26" x14ac:dyDescent="0.3">
      <c r="A31">
        <f t="shared" si="8"/>
        <v>1.0399999999999998E-2</v>
      </c>
      <c r="B31" s="2">
        <f>1.5+0.1*0.629/0.8057</f>
        <v>1.5780687600843986</v>
      </c>
      <c r="C31" s="2">
        <f t="shared" si="1"/>
        <v>0.95191212746482146</v>
      </c>
      <c r="D31" s="2">
        <f t="shared" si="0"/>
        <v>1.0217524861535596</v>
      </c>
      <c r="E31" s="2">
        <f t="shared" si="2"/>
        <v>1.09916429930772</v>
      </c>
      <c r="F31" s="2">
        <f t="shared" si="3"/>
        <v>1.1694485815602838</v>
      </c>
      <c r="G31" s="2">
        <f t="shared" si="4"/>
        <v>1.2345703221962965</v>
      </c>
      <c r="H31" s="2">
        <f t="shared" si="5"/>
        <v>1.2618263055012566</v>
      </c>
      <c r="I31" s="2">
        <f t="shared" si="6"/>
        <v>1.282946506143726</v>
      </c>
      <c r="J31" s="2">
        <f t="shared" si="7"/>
        <v>1.2862701293865773</v>
      </c>
      <c r="M31">
        <v>2.8353999999999999</v>
      </c>
      <c r="N31">
        <v>2.5924</v>
      </c>
      <c r="O31">
        <v>2.4104000000000001</v>
      </c>
      <c r="P31">
        <v>2.9767000000000001</v>
      </c>
      <c r="Q31">
        <v>2.6957</v>
      </c>
      <c r="R31">
        <v>2.1095999999999999</v>
      </c>
      <c r="S31">
        <v>1.474</v>
      </c>
      <c r="T31">
        <v>0.69510000000000005</v>
      </c>
    </row>
    <row r="32" spans="1:26" x14ac:dyDescent="0.3">
      <c r="A32">
        <f t="shared" si="8"/>
        <v>1.0799999999999997E-2</v>
      </c>
      <c r="B32" s="2">
        <f>1.5+0.1*0.6663/0.8057</f>
        <v>1.5826982747921063</v>
      </c>
      <c r="C32" s="2">
        <f t="shared" si="1"/>
        <v>0.96624726561893981</v>
      </c>
      <c r="D32" s="2">
        <f t="shared" si="0"/>
        <v>1.0386443675628714</v>
      </c>
      <c r="E32" s="2">
        <f t="shared" si="2"/>
        <v>1.114901949968282</v>
      </c>
      <c r="F32" s="2">
        <f t="shared" si="3"/>
        <v>1.1846773049645392</v>
      </c>
      <c r="G32" s="2">
        <f t="shared" si="4"/>
        <v>1.2458893908553841</v>
      </c>
      <c r="H32" s="2">
        <f t="shared" si="5"/>
        <v>1.2716559620217818</v>
      </c>
      <c r="I32" s="2">
        <f t="shared" si="6"/>
        <v>1.2888171776095323</v>
      </c>
      <c r="J32" s="2">
        <f t="shared" si="7"/>
        <v>1.291371125383971</v>
      </c>
      <c r="M32">
        <v>2.9508999999999999</v>
      </c>
      <c r="N32">
        <v>2.7284999999999999</v>
      </c>
      <c r="O32">
        <v>2.5371999999999999</v>
      </c>
      <c r="P32">
        <v>3.0994000000000002</v>
      </c>
      <c r="Q32">
        <v>2.7869000000000002</v>
      </c>
      <c r="R32">
        <v>2.1888000000000001</v>
      </c>
      <c r="S32">
        <v>1.5213000000000001</v>
      </c>
      <c r="T32">
        <v>0.73619999999999997</v>
      </c>
    </row>
    <row r="33" spans="1:20" x14ac:dyDescent="0.3">
      <c r="A33">
        <f t="shared" si="8"/>
        <v>1.1199999999999996E-2</v>
      </c>
      <c r="B33" s="2">
        <f>1.5+0.1*0.713/0.8057</f>
        <v>1.5884944768524265</v>
      </c>
      <c r="C33" s="2">
        <f t="shared" si="1"/>
        <v>0.98073134027336051</v>
      </c>
      <c r="D33" s="2">
        <f t="shared" si="0"/>
        <v>1.0544068138448888</v>
      </c>
      <c r="E33" s="2">
        <f t="shared" si="2"/>
        <v>1.1308505943679843</v>
      </c>
      <c r="F33" s="2">
        <f t="shared" si="3"/>
        <v>1.2000053191489362</v>
      </c>
      <c r="G33" s="2">
        <f t="shared" si="4"/>
        <v>1.2568981780271062</v>
      </c>
      <c r="H33" s="2">
        <f t="shared" si="5"/>
        <v>1.2796611747184212</v>
      </c>
      <c r="I33" s="2"/>
      <c r="J33" s="2">
        <f t="shared" si="7"/>
        <v>1.2984579105774303</v>
      </c>
      <c r="M33">
        <v>3.0676000000000001</v>
      </c>
      <c r="N33">
        <v>2.8555000000000001</v>
      </c>
      <c r="O33">
        <v>2.6657000000000002</v>
      </c>
      <c r="P33">
        <v>3.2229000000000001</v>
      </c>
      <c r="Q33">
        <v>2.8755999999999999</v>
      </c>
      <c r="R33">
        <v>2.2532999999999999</v>
      </c>
      <c r="T33">
        <v>0.79330000000000001</v>
      </c>
    </row>
    <row r="34" spans="1:20" x14ac:dyDescent="0.3">
      <c r="A34">
        <f t="shared" si="8"/>
        <v>1.1599999999999996E-2</v>
      </c>
      <c r="B34" s="2">
        <f>1.5+0.1*0.7603/0.8057</f>
        <v>1.5943651483182326</v>
      </c>
      <c r="C34" s="2">
        <f t="shared" si="1"/>
        <v>0.99593527467924348</v>
      </c>
      <c r="D34" s="2">
        <f t="shared" si="0"/>
        <v>1.0717703275051584</v>
      </c>
      <c r="E34" s="2">
        <f t="shared" si="2"/>
        <v>1.1489215875555066</v>
      </c>
      <c r="F34" s="2">
        <f t="shared" si="3"/>
        <v>1.2151719858156029</v>
      </c>
      <c r="G34" s="2">
        <f t="shared" si="4"/>
        <v>1.2702030482053319</v>
      </c>
      <c r="H34" s="2">
        <f t="shared" si="5"/>
        <v>1.2888206273852743</v>
      </c>
      <c r="I34" s="2"/>
      <c r="J34" s="2">
        <f t="shared" si="7"/>
        <v>1.3035216730273977</v>
      </c>
      <c r="M34">
        <v>3.1901000000000002</v>
      </c>
      <c r="N34">
        <v>2.9954000000000001</v>
      </c>
      <c r="O34">
        <v>2.8113000000000001</v>
      </c>
      <c r="P34">
        <v>3.3451</v>
      </c>
      <c r="Q34">
        <v>2.9828000000000001</v>
      </c>
      <c r="R34">
        <v>2.3271000000000002</v>
      </c>
      <c r="T34">
        <v>0.83409999999999995</v>
      </c>
    </row>
    <row r="35" spans="1:20" x14ac:dyDescent="0.3">
      <c r="A35">
        <f t="shared" si="8"/>
        <v>1.1999999999999995E-2</v>
      </c>
      <c r="B35" s="2">
        <f>1.6+0.1*0.0044/0.8057</f>
        <v>1.6005461089735635</v>
      </c>
      <c r="C35" s="2">
        <f t="shared" si="1"/>
        <v>1.0132243200893618</v>
      </c>
      <c r="D35" s="2">
        <f t="shared" si="0"/>
        <v>1.0908093767938316</v>
      </c>
      <c r="E35" s="2">
        <f t="shared" si="2"/>
        <v>1.167526270789089</v>
      </c>
      <c r="F35" s="2">
        <f t="shared" si="3"/>
        <v>1.2307234042553192</v>
      </c>
      <c r="G35" s="2">
        <f t="shared" si="4"/>
        <v>1.2825770739214617</v>
      </c>
      <c r="H35" s="2">
        <f t="shared" si="5"/>
        <v>1.2998789909708648</v>
      </c>
      <c r="I35" s="2"/>
      <c r="J35" s="2">
        <f t="shared" si="7"/>
        <v>1.3076670079741848</v>
      </c>
      <c r="M35">
        <v>3.3294000000000001</v>
      </c>
      <c r="N35">
        <v>3.1488</v>
      </c>
      <c r="O35">
        <v>2.9611999999999998</v>
      </c>
      <c r="P35">
        <v>3.4704000000000002</v>
      </c>
      <c r="Q35">
        <v>3.0825</v>
      </c>
      <c r="R35">
        <v>2.4161999999999999</v>
      </c>
      <c r="T35">
        <v>0.86750000000000005</v>
      </c>
    </row>
    <row r="36" spans="1:20" x14ac:dyDescent="0.3">
      <c r="A36">
        <f t="shared" si="8"/>
        <v>1.2399999999999994E-2</v>
      </c>
      <c r="B36" s="2">
        <f>1.6+0.1*0.0623/0.8057</f>
        <v>1.6077324066029541</v>
      </c>
      <c r="C36" s="2">
        <f t="shared" si="1"/>
        <v>1.0309601750003878</v>
      </c>
      <c r="D36" s="2">
        <f t="shared" si="0"/>
        <v>1.1102828242083871</v>
      </c>
      <c r="E36" s="2">
        <f t="shared" si="2"/>
        <v>1.1866646440687316</v>
      </c>
      <c r="F36" s="2">
        <f t="shared" si="3"/>
        <v>1.2471932624113475</v>
      </c>
      <c r="G36" s="2">
        <f t="shared" si="4"/>
        <v>1.2954847837958596</v>
      </c>
      <c r="H36" s="2">
        <f t="shared" si="5"/>
        <v>1.3098203481336683</v>
      </c>
      <c r="I36" s="2"/>
      <c r="J36" s="2">
        <f t="shared" si="7"/>
        <v>1.3141456452263489</v>
      </c>
      <c r="M36">
        <v>3.4723000000000002</v>
      </c>
      <c r="N36">
        <v>3.3056999999999999</v>
      </c>
      <c r="O36">
        <v>3.1154000000000002</v>
      </c>
      <c r="P36">
        <v>3.6031</v>
      </c>
      <c r="Q36">
        <v>3.1865000000000001</v>
      </c>
      <c r="R36">
        <v>2.4963000000000002</v>
      </c>
      <c r="T36">
        <v>0.91969999999999996</v>
      </c>
    </row>
    <row r="37" spans="1:20" x14ac:dyDescent="0.3">
      <c r="A37">
        <f t="shared" si="8"/>
        <v>1.2799999999999994E-2</v>
      </c>
      <c r="B37" s="2">
        <f>1.6+0.1*0.1273/0.8057</f>
        <v>1.6157999255305946</v>
      </c>
      <c r="C37" s="2">
        <f t="shared" si="1"/>
        <v>1.0476782971593466</v>
      </c>
      <c r="D37" s="2">
        <f t="shared" si="0"/>
        <v>1.1299052081232448</v>
      </c>
      <c r="E37" s="2">
        <f t="shared" si="2"/>
        <v>1.2079253661361944</v>
      </c>
      <c r="F37" s="2">
        <f t="shared" si="3"/>
        <v>1.2633031914893618</v>
      </c>
      <c r="G37" s="2">
        <f t="shared" si="4"/>
        <v>1.3072382465372585</v>
      </c>
      <c r="H37" s="2">
        <f t="shared" si="5"/>
        <v>1.3192032020850786</v>
      </c>
      <c r="I37" s="2"/>
      <c r="J37" s="2">
        <f t="shared" si="7"/>
        <v>1.3254646436439232</v>
      </c>
      <c r="M37">
        <v>3.6070000000000002</v>
      </c>
      <c r="N37">
        <v>3.4638</v>
      </c>
      <c r="O37">
        <v>3.2867000000000002</v>
      </c>
      <c r="P37">
        <v>3.7328999999999999</v>
      </c>
      <c r="Q37">
        <v>3.2812000000000001</v>
      </c>
      <c r="R37">
        <v>2.5718999999999999</v>
      </c>
      <c r="T37">
        <v>1.0108999999999999</v>
      </c>
    </row>
    <row r="38" spans="1:20" x14ac:dyDescent="0.3">
      <c r="A38">
        <f t="shared" si="8"/>
        <v>1.3199999999999993E-2</v>
      </c>
      <c r="B38" s="2">
        <f>1.6+0.1*0.1918/0.8057</f>
        <v>1.6238053866203301</v>
      </c>
      <c r="C38" s="2">
        <f t="shared" si="1"/>
        <v>1.064619824068759</v>
      </c>
      <c r="D38" s="2">
        <f t="shared" si="0"/>
        <v>1.1493786555378003</v>
      </c>
      <c r="E38" s="2">
        <f t="shared" si="2"/>
        <v>1.227498138290537</v>
      </c>
      <c r="F38" s="2">
        <f t="shared" si="3"/>
        <v>1.2818581560283688</v>
      </c>
      <c r="G38" s="2">
        <f t="shared" si="4"/>
        <v>1.3206299955319465</v>
      </c>
      <c r="H38" s="2"/>
      <c r="I38" s="2"/>
      <c r="J38" s="2">
        <f t="shared" si="7"/>
        <v>1.3350460765149399</v>
      </c>
      <c r="M38">
        <v>3.7435</v>
      </c>
      <c r="N38">
        <v>3.6206999999999998</v>
      </c>
      <c r="O38">
        <v>3.4443999999999999</v>
      </c>
      <c r="P38">
        <v>3.8824000000000001</v>
      </c>
      <c r="Q38">
        <v>3.3891</v>
      </c>
      <c r="T38">
        <v>1.0881000000000001</v>
      </c>
    </row>
    <row r="39" spans="1:20" x14ac:dyDescent="0.3">
      <c r="A39">
        <f t="shared" si="8"/>
        <v>1.3599999999999992E-2</v>
      </c>
      <c r="B39" s="2">
        <f>1.6+0.1*0.2523/0.8057</f>
        <v>1.6313143850068264</v>
      </c>
      <c r="C39" s="2">
        <f t="shared" si="1"/>
        <v>1.0827031974804908</v>
      </c>
      <c r="D39" s="2">
        <f t="shared" si="0"/>
        <v>1.1678591929503388</v>
      </c>
      <c r="E39" s="2">
        <f t="shared" si="2"/>
        <v>1.2467606255343795</v>
      </c>
      <c r="F39" s="2">
        <f t="shared" si="3"/>
        <v>1.300636524822695</v>
      </c>
      <c r="G39" s="2">
        <f t="shared" si="4"/>
        <v>1.3382043389763194</v>
      </c>
      <c r="H39" s="2"/>
      <c r="I39" s="2"/>
      <c r="J39" s="2">
        <f t="shared" si="7"/>
        <v>1.3466381209469731</v>
      </c>
      <c r="M39">
        <v>3.8892000000000002</v>
      </c>
      <c r="N39">
        <v>3.7696000000000001</v>
      </c>
      <c r="O39">
        <v>3.5996000000000001</v>
      </c>
      <c r="P39">
        <v>4.0336999999999996</v>
      </c>
      <c r="Q39">
        <v>3.5306999999999999</v>
      </c>
      <c r="T39">
        <v>1.1815</v>
      </c>
    </row>
    <row r="40" spans="1:20" x14ac:dyDescent="0.3">
      <c r="A40">
        <f t="shared" si="8"/>
        <v>1.3999999999999992E-2</v>
      </c>
      <c r="B40" s="2">
        <f>1.6+0.1*0.32/0.8057</f>
        <v>1.6397170162591537</v>
      </c>
      <c r="C40" s="2">
        <f t="shared" si="1"/>
        <v>1.1008113936422732</v>
      </c>
      <c r="D40" s="2">
        <f t="shared" si="0"/>
        <v>1.1882634934917853</v>
      </c>
      <c r="E40" s="2">
        <f t="shared" si="2"/>
        <v>1.2671773726452824</v>
      </c>
      <c r="F40" s="2">
        <f t="shared" si="3"/>
        <v>1.3187819148936171</v>
      </c>
      <c r="G40" s="2"/>
      <c r="H40" s="2"/>
      <c r="I40" s="2"/>
      <c r="J40" s="2">
        <f t="shared" si="7"/>
        <v>1.3579819417294983</v>
      </c>
      <c r="M40">
        <v>4.0350999999999999</v>
      </c>
      <c r="N40">
        <v>3.9340000000000002</v>
      </c>
      <c r="O40">
        <v>3.7641</v>
      </c>
      <c r="P40">
        <v>4.1798999999999999</v>
      </c>
      <c r="T40">
        <v>1.2728999999999999</v>
      </c>
    </row>
    <row r="41" spans="1:20" x14ac:dyDescent="0.3">
      <c r="A41">
        <f t="shared" si="8"/>
        <v>1.4399999999999991E-2</v>
      </c>
      <c r="B41" s="2">
        <f>1.6+0.1*0.3926/0.8057</f>
        <v>1.6487278143229491</v>
      </c>
      <c r="C41" s="2">
        <f t="shared" si="1"/>
        <v>1.1206820050576352</v>
      </c>
      <c r="D41" s="2">
        <f t="shared" si="0"/>
        <v>1.2095241789099709</v>
      </c>
      <c r="E41" s="2">
        <f t="shared" si="2"/>
        <v>1.2897164685440052</v>
      </c>
      <c r="F41" s="2">
        <f t="shared" si="3"/>
        <v>1.3383546099290782</v>
      </c>
      <c r="G41" s="2"/>
      <c r="H41" s="2"/>
      <c r="I41" s="2"/>
      <c r="J41" s="2">
        <f t="shared" si="7"/>
        <v>1.3708399267740234</v>
      </c>
      <c r="M41">
        <v>4.1951999999999998</v>
      </c>
      <c r="N41">
        <v>4.1052999999999997</v>
      </c>
      <c r="O41">
        <v>3.9457</v>
      </c>
      <c r="P41">
        <v>4.3376000000000001</v>
      </c>
      <c r="T41">
        <v>1.3765000000000001</v>
      </c>
    </row>
    <row r="42" spans="1:20" x14ac:dyDescent="0.3">
      <c r="A42">
        <f t="shared" si="8"/>
        <v>1.479999999999999E-2</v>
      </c>
      <c r="B42" s="2">
        <f>1.6+0.1*0.4687/0.8057</f>
        <v>1.658173017252079</v>
      </c>
      <c r="C42" s="2">
        <f t="shared" si="1"/>
        <v>1.1426129047271825</v>
      </c>
      <c r="D42" s="2">
        <f t="shared" si="0"/>
        <v>1.2324479885815349</v>
      </c>
      <c r="E42" s="2">
        <f t="shared" si="2"/>
        <v>1.3118335769644482</v>
      </c>
      <c r="F42" s="2">
        <f t="shared" si="3"/>
        <v>1.3580017730496454</v>
      </c>
      <c r="G42" s="2"/>
      <c r="H42" s="2"/>
      <c r="I42" s="2"/>
      <c r="J42" s="2">
        <f t="shared" si="7"/>
        <v>1.3839213131031058</v>
      </c>
      <c r="M42">
        <v>4.3719000000000001</v>
      </c>
      <c r="N42">
        <v>4.29</v>
      </c>
      <c r="O42">
        <v>4.1238999999999999</v>
      </c>
      <c r="P42">
        <v>4.4958999999999998</v>
      </c>
      <c r="T42">
        <v>1.4819</v>
      </c>
    </row>
    <row r="43" spans="1:20" x14ac:dyDescent="0.3">
      <c r="A43">
        <f t="shared" si="8"/>
        <v>1.519999999999999E-2</v>
      </c>
      <c r="B43" s="2">
        <f>1.6+0.1*0.5571/0.8057</f>
        <v>1.6691448429936702</v>
      </c>
      <c r="C43" s="2">
        <f t="shared" si="1"/>
        <v>1.1644941588966287</v>
      </c>
      <c r="D43" s="2">
        <f t="shared" si="0"/>
        <v>1.2558186077540063</v>
      </c>
      <c r="E43" s="2">
        <f t="shared" si="2"/>
        <v>1.3338265714206912</v>
      </c>
      <c r="F43" s="2">
        <f t="shared" si="3"/>
        <v>1.3779840425531915</v>
      </c>
      <c r="G43" s="2"/>
      <c r="H43" s="2"/>
      <c r="I43" s="2"/>
      <c r="J43" s="2">
        <f t="shared" si="7"/>
        <v>1.3981072946724999</v>
      </c>
      <c r="M43">
        <v>4.5481999999999996</v>
      </c>
      <c r="N43">
        <v>4.4782999999999999</v>
      </c>
      <c r="O43">
        <v>4.3010999999999999</v>
      </c>
      <c r="P43">
        <v>4.6569000000000003</v>
      </c>
      <c r="T43">
        <v>1.5962000000000001</v>
      </c>
    </row>
    <row r="44" spans="1:20" x14ac:dyDescent="0.3">
      <c r="A44">
        <f t="shared" si="8"/>
        <v>1.5599999999999989E-2</v>
      </c>
      <c r="B44" s="2">
        <f>1.6+0.1*0.6537/0.8057</f>
        <v>1.681134417276902</v>
      </c>
      <c r="C44" s="2">
        <f t="shared" si="1"/>
        <v>1.1884232899452347</v>
      </c>
      <c r="D44" s="2">
        <f t="shared" si="0"/>
        <v>1.2791395814263771</v>
      </c>
      <c r="E44" s="2">
        <f t="shared" si="2"/>
        <v>1.3574330474115341</v>
      </c>
      <c r="F44" s="2">
        <f t="shared" si="3"/>
        <v>1.3976187943262413</v>
      </c>
      <c r="G44" s="2"/>
      <c r="H44" s="2"/>
      <c r="I44" s="2"/>
      <c r="J44" s="2">
        <f t="shared" si="7"/>
        <v>1.4127773123584348</v>
      </c>
      <c r="M44">
        <v>4.7409999999999997</v>
      </c>
      <c r="N44">
        <v>4.6661999999999999</v>
      </c>
      <c r="O44">
        <v>4.4912999999999998</v>
      </c>
      <c r="P44">
        <v>4.8151000000000002</v>
      </c>
      <c r="T44">
        <v>1.7143999999999999</v>
      </c>
    </row>
    <row r="45" spans="1:20" x14ac:dyDescent="0.3">
      <c r="A45">
        <f t="shared" si="8"/>
        <v>1.599999999999999E-2</v>
      </c>
      <c r="B45" s="2">
        <f>1.6+0.1*0.7627/0.8057</f>
        <v>1.6946630259401763</v>
      </c>
      <c r="C45" s="2">
        <f t="shared" si="1"/>
        <v>1.2141644817475217</v>
      </c>
      <c r="D45" s="2">
        <f t="shared" si="0"/>
        <v>1.3039995656018739</v>
      </c>
      <c r="E45" s="2">
        <f t="shared" si="2"/>
        <v>1.3818834983589376</v>
      </c>
      <c r="F45" s="2">
        <f t="shared" si="3"/>
        <v>1.4169060283687944</v>
      </c>
      <c r="G45" s="2"/>
      <c r="H45" s="2"/>
      <c r="I45" s="2"/>
      <c r="J45" s="2">
        <f t="shared" si="7"/>
        <v>1.4292221291383536</v>
      </c>
      <c r="M45">
        <v>4.9484000000000004</v>
      </c>
      <c r="N45">
        <v>4.8665000000000003</v>
      </c>
      <c r="O45">
        <v>4.6882999999999999</v>
      </c>
      <c r="P45">
        <v>4.9705000000000004</v>
      </c>
      <c r="T45">
        <v>1.8469</v>
      </c>
    </row>
    <row r="46" spans="1:20" x14ac:dyDescent="0.3">
      <c r="A46">
        <f t="shared" si="8"/>
        <v>1.6399999999999991E-2</v>
      </c>
      <c r="B46" s="2">
        <f>1.7+0.05*0.0867/0.4029</f>
        <v>1.7107594936708861</v>
      </c>
      <c r="C46" s="2">
        <f t="shared" si="1"/>
        <v>1.2407992925516236</v>
      </c>
      <c r="D46" s="2">
        <f t="shared" si="0"/>
        <v>1.327457064399522</v>
      </c>
      <c r="E46" s="2">
        <f t="shared" si="2"/>
        <v>1.4041247207435805</v>
      </c>
      <c r="F46" s="2">
        <f t="shared" si="3"/>
        <v>1.4373599290780144</v>
      </c>
      <c r="G46" s="2"/>
      <c r="H46" s="2"/>
      <c r="I46" s="2"/>
      <c r="J46" s="2">
        <f t="shared" si="7"/>
        <v>1.4511775109373546</v>
      </c>
      <c r="M46">
        <v>5.1630000000000003</v>
      </c>
      <c r="N46">
        <v>5.0555000000000003</v>
      </c>
      <c r="O46">
        <v>4.8674999999999997</v>
      </c>
      <c r="P46">
        <v>5.1353</v>
      </c>
      <c r="T46">
        <v>2.0238</v>
      </c>
    </row>
    <row r="47" spans="1:20" x14ac:dyDescent="0.3">
      <c r="A47">
        <f t="shared" si="8"/>
        <v>1.6799999999999992E-2</v>
      </c>
      <c r="B47" s="2">
        <f>1.7+0.05*0.2191/0.4029</f>
        <v>1.7271903698188136</v>
      </c>
      <c r="C47" s="2">
        <f t="shared" si="1"/>
        <v>1.2663046682284314</v>
      </c>
      <c r="D47" s="2">
        <f t="shared" si="0"/>
        <v>1.3534216609522627</v>
      </c>
      <c r="E47" s="2">
        <f t="shared" si="2"/>
        <v>1.4264528229031637</v>
      </c>
      <c r="F47" s="2">
        <f t="shared" si="3"/>
        <v>1.4619716312056736</v>
      </c>
      <c r="G47" s="2"/>
      <c r="H47" s="2"/>
      <c r="I47" s="2"/>
      <c r="J47" s="2">
        <f t="shared" si="7"/>
        <v>1.4713456824598963</v>
      </c>
      <c r="M47">
        <v>5.3685</v>
      </c>
      <c r="N47">
        <v>5.2647000000000004</v>
      </c>
      <c r="O47">
        <v>5.0473999999999997</v>
      </c>
      <c r="P47">
        <v>5.3335999999999997</v>
      </c>
      <c r="T47">
        <v>2.1863000000000001</v>
      </c>
    </row>
    <row r="48" spans="1:20" x14ac:dyDescent="0.3">
      <c r="A48">
        <f t="shared" si="8"/>
        <v>1.7199999999999993E-2</v>
      </c>
      <c r="B48" s="2">
        <f>1.7+0.05*0.3697/0.4029</f>
        <v>1.7458798709357159</v>
      </c>
      <c r="C48" s="2">
        <f t="shared" si="1"/>
        <v>1.293870332159424</v>
      </c>
      <c r="D48" s="2">
        <f t="shared" si="0"/>
        <v>1.3806894518826502</v>
      </c>
      <c r="E48" s="2">
        <f t="shared" si="2"/>
        <v>1.453038034034807</v>
      </c>
      <c r="F48" s="2">
        <f t="shared" si="3"/>
        <v>1.4862234042553193</v>
      </c>
      <c r="G48" s="2"/>
      <c r="H48" s="2"/>
      <c r="I48" s="2"/>
      <c r="J48" s="2">
        <f t="shared" si="7"/>
        <v>1.4921964690185856</v>
      </c>
      <c r="M48">
        <v>5.5906000000000002</v>
      </c>
      <c r="N48">
        <v>5.4843999999999999</v>
      </c>
      <c r="O48">
        <v>5.2615999999999996</v>
      </c>
      <c r="P48">
        <v>5.5289999999999999</v>
      </c>
      <c r="T48">
        <v>2.3542999999999998</v>
      </c>
    </row>
    <row r="49" spans="1:20" x14ac:dyDescent="0.3">
      <c r="A49">
        <f t="shared" si="8"/>
        <v>1.7599999999999994E-2</v>
      </c>
      <c r="C49" s="2">
        <f t="shared" si="1"/>
        <v>1.3241044417208372</v>
      </c>
      <c r="D49" s="2">
        <f t="shared" si="0"/>
        <v>1.4077090153125338</v>
      </c>
      <c r="E49" s="2">
        <f t="shared" si="2"/>
        <v>1.4804672201230107</v>
      </c>
      <c r="F49" s="2"/>
      <c r="G49" s="2"/>
      <c r="H49" s="2"/>
      <c r="I49" s="2"/>
      <c r="J49" s="2">
        <f t="shared" si="7"/>
        <v>1.5149709888609637</v>
      </c>
      <c r="M49">
        <v>5.8342000000000001</v>
      </c>
      <c r="N49">
        <v>5.7020999999999997</v>
      </c>
      <c r="O49">
        <v>5.4825999999999997</v>
      </c>
      <c r="T49">
        <v>2.5377999999999998</v>
      </c>
    </row>
    <row r="50" spans="1:20" x14ac:dyDescent="0.3">
      <c r="A50">
        <f t="shared" si="8"/>
        <v>1.7999999999999995E-2</v>
      </c>
      <c r="C50" s="2">
        <f t="shared" si="1"/>
        <v>1.3552694044091409</v>
      </c>
      <c r="D50" s="2">
        <f t="shared" si="0"/>
        <v>1.4346541104922661</v>
      </c>
      <c r="E50" s="2">
        <f t="shared" si="2"/>
        <v>1.5080205201754144</v>
      </c>
      <c r="F50" s="2"/>
      <c r="G50" s="2"/>
      <c r="H50" s="2"/>
      <c r="I50" s="2"/>
      <c r="J50" s="2">
        <f t="shared" si="7"/>
        <v>1.5407986595922927</v>
      </c>
      <c r="M50">
        <v>6.0853000000000002</v>
      </c>
      <c r="N50">
        <v>5.9192</v>
      </c>
      <c r="O50">
        <v>5.7046000000000001</v>
      </c>
      <c r="T50">
        <v>2.7458999999999998</v>
      </c>
    </row>
    <row r="51" spans="1:20" x14ac:dyDescent="0.3">
      <c r="A51">
        <f t="shared" si="8"/>
        <v>1.8399999999999996E-2</v>
      </c>
      <c r="C51" s="2">
        <f t="shared" si="1"/>
        <v>1.3881347254758987</v>
      </c>
      <c r="D51" s="2">
        <f t="shared" si="0"/>
        <v>1.4673829064337465</v>
      </c>
      <c r="E51" s="2">
        <f t="shared" si="2"/>
        <v>1.5399178089748187</v>
      </c>
      <c r="F51" s="2"/>
      <c r="G51" s="2"/>
      <c r="H51" s="2"/>
      <c r="I51" s="2"/>
      <c r="J51" s="2">
        <f t="shared" si="7"/>
        <v>1.5676936920165068</v>
      </c>
      <c r="M51">
        <v>6.3501000000000003</v>
      </c>
      <c r="N51">
        <v>6.1829000000000001</v>
      </c>
      <c r="O51">
        <v>5.9615999999999998</v>
      </c>
      <c r="T51">
        <v>2.9626000000000001</v>
      </c>
    </row>
    <row r="52" spans="1:20" x14ac:dyDescent="0.3">
      <c r="A52">
        <f t="shared" si="8"/>
        <v>1.8799999999999997E-2</v>
      </c>
      <c r="C52" s="2"/>
      <c r="D52" s="2">
        <f t="shared" si="0"/>
        <v>1.4986347487472269</v>
      </c>
      <c r="E52" s="2">
        <f t="shared" si="2"/>
        <v>1.5714675786744627</v>
      </c>
      <c r="F52" s="2"/>
      <c r="G52" s="2"/>
      <c r="H52" s="2"/>
      <c r="I52" s="2"/>
      <c r="J52" s="2">
        <f t="shared" si="7"/>
        <v>1.592404356325049</v>
      </c>
      <c r="N52">
        <v>6.4347000000000003</v>
      </c>
      <c r="O52">
        <v>6.2157999999999998</v>
      </c>
      <c r="T52">
        <v>3.1617000000000002</v>
      </c>
    </row>
    <row r="53" spans="1:20" x14ac:dyDescent="0.3">
      <c r="A53">
        <f t="shared" si="8"/>
        <v>1.9199999999999998E-2</v>
      </c>
      <c r="C53" s="2"/>
      <c r="D53" s="2"/>
      <c r="E53" s="2">
        <f t="shared" si="2"/>
        <v>1.6029056458063271</v>
      </c>
      <c r="F53" s="2"/>
      <c r="G53" s="2"/>
      <c r="H53" s="2"/>
      <c r="I53" s="2"/>
      <c r="J53" s="2"/>
      <c r="O53">
        <v>6.4691000000000001</v>
      </c>
    </row>
    <row r="54" spans="1:20" x14ac:dyDescent="0.3">
      <c r="A54">
        <f t="shared" si="8"/>
        <v>1.9599999999999999E-2</v>
      </c>
      <c r="C54" s="2"/>
      <c r="D54" s="2"/>
      <c r="E54" s="2"/>
      <c r="F54" s="2"/>
      <c r="G54" s="2"/>
      <c r="H54" s="2"/>
      <c r="I54" s="2"/>
      <c r="J54" s="2"/>
    </row>
    <row r="55" spans="1:20" x14ac:dyDescent="0.3">
      <c r="A55">
        <f t="shared" si="8"/>
        <v>0.02</v>
      </c>
      <c r="C55" s="2"/>
      <c r="D55" s="2"/>
      <c r="E55" s="2"/>
      <c r="F55" s="2"/>
      <c r="G55" s="2"/>
      <c r="H55" s="2"/>
      <c r="I55" s="2"/>
      <c r="J55" s="2"/>
    </row>
  </sheetData>
  <mergeCells count="4">
    <mergeCell ref="C2:J2"/>
    <mergeCell ref="B2:B4"/>
    <mergeCell ref="A2:A4"/>
    <mergeCell ref="M2:T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SPM_Figure 7-2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JTLEE</dc:creator>
  <cp:lastModifiedBy>김창보</cp:lastModifiedBy>
  <dcterms:created xsi:type="dcterms:W3CDTF">2026-07-01T08:28:28Z</dcterms:created>
  <dcterms:modified xsi:type="dcterms:W3CDTF">2026-07-07T08:26:48Z</dcterms:modified>
</cp:coreProperties>
</file>