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260702 Brebner&amp;Donnelly 그래프 읽기\"/>
    </mc:Choice>
  </mc:AlternateContent>
  <bookViews>
    <workbookView xWindow="0" yWindow="0" windowWidth="28800" windowHeight="12135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1" l="1"/>
  <c r="C40" i="1"/>
  <c r="C39" i="1"/>
  <c r="C38" i="1"/>
  <c r="C37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8" i="1"/>
  <c r="C7" i="1"/>
  <c r="C6" i="1"/>
  <c r="C5" i="1"/>
  <c r="C4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<sst xmlns="http://schemas.openxmlformats.org/spreadsheetml/2006/main" count="4" uniqueCount="4">
  <si>
    <t>di/ds</t>
    <phoneticPr fontId="2" type="noConversion"/>
  </si>
  <si>
    <t>Ns3</t>
    <phoneticPr fontId="2" type="noConversion"/>
  </si>
  <si>
    <t>Rubble Foundation</t>
    <phoneticPr fontId="2" type="noConversion"/>
  </si>
  <si>
    <t>Rubble Toe Protection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</si>
</sst>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_-* #,##0.00_-;\-* #,##0.0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1" applyNumberFormat="1" applyFont="1">
      <alignment vertical="center"/>
    </xf>
    <xf numFmtId="0" fontId="0" fillId="0" borderId="0" xfId="0" applyAlignment="1">
      <alignment horizontal="center" vertical="center"/>
    </xf>
    <xf numFmtId="176" fontId="0" fillId="2" borderId="0" xfId="1" applyNumberFormat="1" applyFont="1" applyFill="1">
      <alignment vertical="center"/>
    </xf>
    <xf numFmtId="0" fontId="0" fillId="2" borderId="0" xfId="0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2"/>
  <sheetViews>
    <sheetView tabSelected="1" zoomScale="85" zoomScaleNormal="85" workbookViewId="0">
      <pane ySplit="3" topLeftCell="A4" activePane="bottomLeft" state="frozen"/>
      <selection pane="bottomLeft"/>
    </sheetView>
  </sheetViews>
  <sheetFormatPr defaultRowHeight="16.5" x14ac:dyDescent="0.3"/>
  <cols>
    <col min="2" max="2" width="18.75" bestFit="1" customWidth="1"/>
    <col min="3" max="3" width="21.75" bestFit="1" customWidth="1"/>
  </cols>
  <sheetData>
    <row r="2" spans="1:3" x14ac:dyDescent="0.3">
      <c r="A2" s="3" t="s">
        <v>0</v>
      </c>
      <c r="B2" s="3" t="s">
        <v>1</v>
      </c>
      <c r="C2" s="3"/>
    </row>
    <row r="3" spans="1:3" x14ac:dyDescent="0.3">
      <c r="A3" s="3"/>
      <c r="B3" s="1" t="s">
        <v>2</v>
      </c>
      <c r="C3" s="1" t="s">
        <v>3</v>
      </c>
    </row>
    <row r="4" spans="1:3" s="5" customFormat="1" x14ac:dyDescent="0.3">
      <c r="A4" s="4">
        <v>0</v>
      </c>
      <c r="B4" s="4">
        <v>4.5</v>
      </c>
      <c r="C4" s="4">
        <f>8+0.2*0.0042/0.006</f>
        <v>8.14</v>
      </c>
    </row>
    <row r="5" spans="1:3" x14ac:dyDescent="0.3">
      <c r="A5" s="2">
        <v>0.02</v>
      </c>
      <c r="B5" s="2">
        <v>5.01</v>
      </c>
      <c r="C5" s="2">
        <f>9+0.2*0.0003/0.0051</f>
        <v>9.0117647058823529</v>
      </c>
    </row>
    <row r="6" spans="1:3" x14ac:dyDescent="0.3">
      <c r="A6" s="2">
        <v>0.04</v>
      </c>
      <c r="B6" s="2">
        <f>5.4+0.2*0.0072/0.008</f>
        <v>5.58</v>
      </c>
      <c r="C6" s="2">
        <f>10+1*0.0011/0.0205</f>
        <v>10.053658536585365</v>
      </c>
    </row>
    <row r="7" spans="1:3" x14ac:dyDescent="0.3">
      <c r="A7" s="2">
        <v>0.06</v>
      </c>
      <c r="B7" s="2">
        <f>6+0.2*0.0048/0.0071</f>
        <v>6.1352112676056336</v>
      </c>
      <c r="C7" s="2">
        <f>11+1*0.0047/0.0189</f>
        <v>11.248677248677248</v>
      </c>
    </row>
    <row r="8" spans="1:3" x14ac:dyDescent="0.3">
      <c r="A8" s="2">
        <v>0.08</v>
      </c>
      <c r="B8" s="2">
        <f>6.6+0.2*0.0023/0.0065</f>
        <v>6.6707692307692303</v>
      </c>
      <c r="C8" s="2">
        <f>12+1*0.0097/0.0175</f>
        <v>12.554285714285715</v>
      </c>
    </row>
    <row r="9" spans="1:3" s="5" customFormat="1" x14ac:dyDescent="0.3">
      <c r="A9" s="4">
        <v>0.1</v>
      </c>
      <c r="B9" s="4">
        <f>7.2+0.2*0.0005/0.0058</f>
        <v>7.2172413793103454</v>
      </c>
      <c r="C9" s="4">
        <v>14</v>
      </c>
    </row>
    <row r="10" spans="1:3" x14ac:dyDescent="0.3">
      <c r="A10" s="2">
        <v>0.12</v>
      </c>
      <c r="B10" s="2">
        <f>7.6+0.2*0.0042/0.0047</f>
        <v>7.7787234042553184</v>
      </c>
      <c r="C10" s="2">
        <f>15+1*0.0093/0.0145</f>
        <v>15.641379310344828</v>
      </c>
    </row>
    <row r="11" spans="1:3" x14ac:dyDescent="0.3">
      <c r="A11" s="2">
        <v>0.14000000000000001</v>
      </c>
      <c r="B11" s="2">
        <f>8.2+0.2*0.0033/0.0047</f>
        <v>8.3404255319148923</v>
      </c>
      <c r="C11" s="2">
        <f>17+1*0.0049/0.012</f>
        <v>17.408333333333335</v>
      </c>
    </row>
    <row r="12" spans="1:3" x14ac:dyDescent="0.3">
      <c r="A12" s="2">
        <v>0.16</v>
      </c>
      <c r="B12" s="2">
        <f>8.8+0.2*0.0026/0.0048</f>
        <v>8.9083333333333332</v>
      </c>
      <c r="C12" s="2">
        <f>19+1*0.0044/0.0115</f>
        <v>19.382608695652173</v>
      </c>
    </row>
    <row r="13" spans="1:3" x14ac:dyDescent="0.3">
      <c r="A13" s="2">
        <v>0.18</v>
      </c>
      <c r="B13" s="2">
        <f>9.4+0.2*0.0022/0.0047</f>
        <v>9.4936170212765969</v>
      </c>
      <c r="C13" s="2">
        <f>21+1*0.0058/0.0105</f>
        <v>21.552380952380954</v>
      </c>
    </row>
    <row r="14" spans="1:3" s="5" customFormat="1" x14ac:dyDescent="0.3">
      <c r="A14" s="4">
        <v>0.2</v>
      </c>
      <c r="B14" s="4">
        <f>10+1*0.0021/0.0205</f>
        <v>10.102439024390243</v>
      </c>
      <c r="C14" s="4">
        <f>24+1*0.0012/0.0087</f>
        <v>24.137931034482758</v>
      </c>
    </row>
    <row r="15" spans="1:3" x14ac:dyDescent="0.3">
      <c r="A15" s="2">
        <v>0.22</v>
      </c>
      <c r="B15" s="2">
        <f>10+1*0.0142/0.0205</f>
        <v>10.692682926829269</v>
      </c>
      <c r="C15" s="2">
        <f>26+1*0.0074/0.0084</f>
        <v>26.88095238095238</v>
      </c>
    </row>
    <row r="16" spans="1:3" x14ac:dyDescent="0.3">
      <c r="A16" s="2">
        <v>0.24</v>
      </c>
      <c r="B16" s="2">
        <f>11+1*0.0049/0.0189</f>
        <v>11.25925925925926</v>
      </c>
      <c r="C16" s="2">
        <f>30+1*0.0005/0.0067</f>
        <v>30.074626865671643</v>
      </c>
    </row>
    <row r="17" spans="1:3" x14ac:dyDescent="0.3">
      <c r="A17" s="2">
        <v>0.26</v>
      </c>
      <c r="B17" s="2">
        <f>11+1*0.0154/0.0189</f>
        <v>11.814814814814815</v>
      </c>
      <c r="C17" s="2">
        <f>33+1*0.0048/0.0069</f>
        <v>33.695652173913047</v>
      </c>
    </row>
    <row r="18" spans="1:3" x14ac:dyDescent="0.3">
      <c r="A18" s="2">
        <v>0.28000000000000003</v>
      </c>
      <c r="B18" s="2">
        <f>12+1*0.0066/0.0175</f>
        <v>12.377142857142857</v>
      </c>
      <c r="C18" s="2">
        <f>37+1*0.0022/0.0055</f>
        <v>37.4</v>
      </c>
    </row>
    <row r="19" spans="1:3" s="5" customFormat="1" x14ac:dyDescent="0.3">
      <c r="A19" s="4">
        <v>0.3</v>
      </c>
      <c r="B19" s="4">
        <f>12+1*0.0163/0.0175</f>
        <v>12.931428571428571</v>
      </c>
      <c r="C19" s="4">
        <f>41+1*0.0038/0.0055</f>
        <v>41.690909090909088</v>
      </c>
    </row>
    <row r="20" spans="1:3" x14ac:dyDescent="0.3">
      <c r="A20" s="2">
        <v>0.32</v>
      </c>
      <c r="B20" s="2">
        <f>13+1*0.0077/0.016</f>
        <v>13.481249999999999</v>
      </c>
      <c r="C20" s="2">
        <f>46+1*0.0033/0.0051</f>
        <v>46.647058823529413</v>
      </c>
    </row>
    <row r="21" spans="1:3" x14ac:dyDescent="0.3">
      <c r="A21" s="2">
        <v>0.34</v>
      </c>
      <c r="B21" s="2">
        <f>13+1*0.016/0.016</f>
        <v>14</v>
      </c>
      <c r="C21" s="2">
        <f>50+2*0.0073/0.0079</f>
        <v>51.848101265822784</v>
      </c>
    </row>
    <row r="22" spans="1:3" x14ac:dyDescent="0.3">
      <c r="A22" s="2">
        <v>0.36</v>
      </c>
      <c r="B22" s="2">
        <f>14+1*0.0077/0.0143</f>
        <v>14.538461538461538</v>
      </c>
      <c r="C22" s="2">
        <f>56+2*0.0055/0.0084</f>
        <v>57.30952380952381</v>
      </c>
    </row>
    <row r="23" spans="1:3" x14ac:dyDescent="0.3">
      <c r="A23" s="2">
        <v>0.38</v>
      </c>
      <c r="B23" s="2">
        <f>15+1*0.0007/0.0145</f>
        <v>15.048275862068966</v>
      </c>
      <c r="C23" s="2">
        <f>62+2*0.0067/0.0069</f>
        <v>63.94202898550725</v>
      </c>
    </row>
    <row r="24" spans="1:3" s="5" customFormat="1" x14ac:dyDescent="0.3">
      <c r="A24" s="4">
        <v>0.4</v>
      </c>
      <c r="B24" s="4">
        <f>15+1*0.008/0.0145</f>
        <v>15.551724137931034</v>
      </c>
      <c r="C24" s="4">
        <f>70+2*0.0036/0.0061</f>
        <v>71.180327868852459</v>
      </c>
    </row>
    <row r="25" spans="1:3" x14ac:dyDescent="0.3">
      <c r="A25" s="2">
        <v>0.42</v>
      </c>
      <c r="B25" s="2">
        <f>16+1*0.0006/0.0131</f>
        <v>16.045801526717558</v>
      </c>
      <c r="C25" s="2">
        <f>78+2*0.0014/0.0051</f>
        <v>78.549019607843135</v>
      </c>
    </row>
    <row r="26" spans="1:3" x14ac:dyDescent="0.3">
      <c r="A26" s="2">
        <v>0.44</v>
      </c>
      <c r="B26" s="2">
        <f>16+1*0.0073/0.0131</f>
        <v>16.557251908396946</v>
      </c>
      <c r="C26" s="2">
        <f>86+2*0.0018/0.0051</f>
        <v>86.705882352941174</v>
      </c>
    </row>
    <row r="27" spans="1:3" x14ac:dyDescent="0.3">
      <c r="A27" s="2">
        <v>0.46</v>
      </c>
      <c r="B27" s="2">
        <f>17+1*0.0003/0.012</f>
        <v>17.024999999999999</v>
      </c>
      <c r="C27" s="2">
        <f>94+2*0.0041/0.0047</f>
        <v>95.744680851063833</v>
      </c>
    </row>
    <row r="28" spans="1:3" x14ac:dyDescent="0.3">
      <c r="A28" s="2">
        <v>0.48</v>
      </c>
      <c r="B28" s="2">
        <f>17+1*0.0063/0.012</f>
        <v>17.524999999999999</v>
      </c>
      <c r="C28" s="2">
        <f>100+10*0.0112/0.0196</f>
        <v>105.71428571428571</v>
      </c>
    </row>
    <row r="29" spans="1:3" s="5" customFormat="1" x14ac:dyDescent="0.3">
      <c r="A29" s="4">
        <v>0.5</v>
      </c>
      <c r="B29" s="4">
        <f>18+1*0.0002/0.0116</f>
        <v>18.017241379310345</v>
      </c>
      <c r="C29" s="4">
        <f>110+10*0.0122/0.0193</f>
        <v>116.32124352331606</v>
      </c>
    </row>
    <row r="30" spans="1:3" x14ac:dyDescent="0.3">
      <c r="A30" s="2">
        <v>0.52</v>
      </c>
      <c r="B30" s="2">
        <f>18+1*0.0059/0.0116</f>
        <v>18.508620689655171</v>
      </c>
      <c r="C30" s="2">
        <f>120+10*0.013/0.0175</f>
        <v>127.42857142857143</v>
      </c>
    </row>
    <row r="31" spans="1:3" x14ac:dyDescent="0.3">
      <c r="A31" s="2">
        <v>0.54</v>
      </c>
      <c r="B31" s="2">
        <f>18+1*0.0114/0.0116</f>
        <v>18.982758620689655</v>
      </c>
      <c r="C31" s="2">
        <f>130+10*0.0148/0.016</f>
        <v>139.25</v>
      </c>
    </row>
    <row r="32" spans="1:3" x14ac:dyDescent="0.3">
      <c r="A32" s="2">
        <v>0.56000000000000005</v>
      </c>
      <c r="B32" s="2">
        <f>19+1*0.005/0.0115</f>
        <v>19.434782608695652</v>
      </c>
      <c r="C32" s="2">
        <f>150+10*0.0021/0.0142</f>
        <v>151.47887323943661</v>
      </c>
    </row>
    <row r="33" spans="1:3" x14ac:dyDescent="0.3">
      <c r="A33" s="2">
        <v>0.57999999999999996</v>
      </c>
      <c r="B33" s="2">
        <f>19+1*0.01/0.0115</f>
        <v>19.869565217391305</v>
      </c>
      <c r="C33" s="2">
        <f>160+10*0.0059/0.0127</f>
        <v>164.64566929133858</v>
      </c>
    </row>
    <row r="34" spans="1:3" s="5" customFormat="1" x14ac:dyDescent="0.3">
      <c r="A34" s="4">
        <v>0.6</v>
      </c>
      <c r="B34" s="4">
        <f>20+1*0.0032/0.0104</f>
        <v>20.307692307692307</v>
      </c>
      <c r="C34" s="4">
        <f>170+10*0.0108/0.0124</f>
        <v>178.70967741935485</v>
      </c>
    </row>
    <row r="35" spans="1:3" x14ac:dyDescent="0.3">
      <c r="A35" s="2">
        <v>0.62</v>
      </c>
      <c r="B35" s="2">
        <f>20+1*0.0078/0.0104</f>
        <v>20.75</v>
      </c>
      <c r="C35" s="2">
        <f>190+10*0.0045/0.0113</f>
        <v>193.98230088495575</v>
      </c>
    </row>
    <row r="36" spans="1:3" x14ac:dyDescent="0.3">
      <c r="A36" s="2">
        <v>0.64</v>
      </c>
      <c r="B36" s="2">
        <f>21+1*0.0018/0.0105</f>
        <v>21.171428571428571</v>
      </c>
      <c r="C36" s="2">
        <v>210</v>
      </c>
    </row>
    <row r="37" spans="1:3" x14ac:dyDescent="0.3">
      <c r="A37" s="2">
        <v>0.66</v>
      </c>
      <c r="B37" s="2">
        <f>21+1*0.0062/0.0105</f>
        <v>21.590476190476192</v>
      </c>
      <c r="C37" s="2">
        <f>220+10*0.004/0.0091</f>
        <v>224.39560439560441</v>
      </c>
    </row>
    <row r="38" spans="1:3" x14ac:dyDescent="0.3">
      <c r="A38" s="2">
        <v>0.68</v>
      </c>
      <c r="B38" s="2">
        <f>21+1*0.0104/0.0105</f>
        <v>21.990476190476191</v>
      </c>
      <c r="C38" s="2">
        <f>240+10*0.0002/0.0087</f>
        <v>240.22988505747125</v>
      </c>
    </row>
    <row r="39" spans="1:3" s="5" customFormat="1" x14ac:dyDescent="0.3">
      <c r="A39" s="4">
        <v>0.7</v>
      </c>
      <c r="B39" s="4">
        <f>22+1*0.0039/0.0095</f>
        <v>22.410526315789475</v>
      </c>
      <c r="C39" s="4">
        <f>250+10*0.0065/0.0084</f>
        <v>257.73809523809524</v>
      </c>
    </row>
    <row r="40" spans="1:3" x14ac:dyDescent="0.3">
      <c r="A40" s="2">
        <v>0.72</v>
      </c>
      <c r="B40" s="2">
        <f>22+1*0.0076/0.0095</f>
        <v>22.8</v>
      </c>
      <c r="C40" s="2">
        <f>270+10*0.0038/0.0076</f>
        <v>275</v>
      </c>
    </row>
    <row r="41" spans="1:3" x14ac:dyDescent="0.3">
      <c r="A41" s="2">
        <v>0.74</v>
      </c>
      <c r="B41" s="2">
        <f>23+1*0.0016/0.0084</f>
        <v>23.19047619047619</v>
      </c>
      <c r="C41" s="2">
        <f>290+10*0.0013/0.0079</f>
        <v>291.64556962025318</v>
      </c>
    </row>
    <row r="42" spans="1:3" x14ac:dyDescent="0.3">
      <c r="A42" s="2">
        <v>0.75</v>
      </c>
      <c r="B42" s="2">
        <f>23+1*0.0029/0.0084</f>
        <v>23.345238095238095</v>
      </c>
      <c r="C42" s="2">
        <v>300</v>
      </c>
    </row>
  </sheetData>
  <mergeCells count="2">
    <mergeCell ref="B2:C2"/>
    <mergeCell ref="A2:A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JTLEE</dc:creator>
  <cp:lastModifiedBy>JTLEE</cp:lastModifiedBy>
  <dcterms:created xsi:type="dcterms:W3CDTF">2026-07-01T08:28:28Z</dcterms:created>
  <dcterms:modified xsi:type="dcterms:W3CDTF">2026-07-02T05:45:21Z</dcterms:modified>
</cp:coreProperties>
</file>